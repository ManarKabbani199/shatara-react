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I:\Work\StudioProjects\chesse\"/>
    </mc:Choice>
  </mc:AlternateContent>
  <xr:revisionPtr revIDLastSave="0" documentId="13_ncr:1_{9F8A1632-E13E-4E39-BE6D-65B6FB98A1E0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Dashboard" sheetId="1" r:id="rId1"/>
    <sheet name="بلال" sheetId="2" r:id="rId2"/>
    <sheet name="منار" sheetId="3" r:id="rId3"/>
    <sheet name="مقرن" sheetId="4" r:id="rId4"/>
    <sheet name="محمد" sheetId="5" r:id="rId5"/>
    <sheet name="زكريا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JgBsUbu2l63J/t1dKob0Bkcz0ZgUOR3sWxrV0l3LnEU="/>
    </ext>
  </extLst>
</workbook>
</file>

<file path=xl/calcChain.xml><?xml version="1.0" encoding="utf-8"?>
<calcChain xmlns="http://schemas.openxmlformats.org/spreadsheetml/2006/main">
  <c r="B104" i="6" l="1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F11" i="1"/>
  <c r="E11" i="1"/>
  <c r="D11" i="1"/>
  <c r="C11" i="1"/>
  <c r="B11" i="1"/>
  <c r="H11" i="1" s="1"/>
  <c r="F10" i="1"/>
  <c r="E10" i="1"/>
  <c r="D10" i="1"/>
  <c r="C10" i="1"/>
  <c r="B10" i="1"/>
  <c r="F9" i="1"/>
  <c r="E9" i="1"/>
  <c r="D9" i="1"/>
  <c r="C9" i="1"/>
  <c r="B9" i="1"/>
  <c r="H9" i="1" s="1"/>
  <c r="F8" i="1"/>
  <c r="E8" i="1"/>
  <c r="D8" i="1"/>
  <c r="C8" i="1"/>
  <c r="B8" i="1"/>
  <c r="H8" i="1" s="1"/>
  <c r="F7" i="1"/>
  <c r="E7" i="1"/>
  <c r="D7" i="1"/>
  <c r="C7" i="1"/>
  <c r="B7" i="1"/>
  <c r="G10" i="1" l="1"/>
  <c r="E15" i="1"/>
  <c r="C15" i="1"/>
  <c r="H10" i="1"/>
  <c r="G8" i="1"/>
  <c r="G11" i="1"/>
  <c r="G9" i="1"/>
  <c r="A15" i="1"/>
  <c r="G7" i="1"/>
  <c r="H7" i="1"/>
  <c r="G15" i="1" l="1"/>
</calcChain>
</file>

<file path=xl/sharedStrings.xml><?xml version="1.0" encoding="utf-8"?>
<sst xmlns="http://schemas.openxmlformats.org/spreadsheetml/2006/main" count="108" uniqueCount="43">
  <si>
    <t>SHATARA | شطارة</t>
  </si>
  <si>
    <t>متابعة مهام التقنية | مقرن</t>
  </si>
  <si>
    <t>المهمة</t>
  </si>
  <si>
    <t>متابعة مهام التقنية | منار</t>
  </si>
  <si>
    <t>الشخص</t>
  </si>
  <si>
    <t>الحالة</t>
  </si>
  <si>
    <t>الإنجاز</t>
  </si>
  <si>
    <t>متابعة مهام التقنية | بلال</t>
  </si>
  <si>
    <t>لوحة متابعة فريق التقنية | 2026</t>
  </si>
  <si>
    <t>ملخص الموظفين</t>
  </si>
  <si>
    <t>الموظف</t>
  </si>
  <si>
    <t>إجمالي المهام</t>
  </si>
  <si>
    <t>مكتمل</t>
  </si>
  <si>
    <t>قيد التنفيذ</t>
  </si>
  <si>
    <t>متأخر</t>
  </si>
  <si>
    <t>متوقف / قرار</t>
  </si>
  <si>
    <t>لم يبدأ</t>
  </si>
  <si>
    <t>الإنجاز العام</t>
  </si>
  <si>
    <t>بلال</t>
  </si>
  <si>
    <t>منار</t>
  </si>
  <si>
    <t>مقرن</t>
  </si>
  <si>
    <t>محمد</t>
  </si>
  <si>
    <t>زكريا</t>
  </si>
  <si>
    <t>المهام المكتملة</t>
  </si>
  <si>
    <t>متوسط الإنجاز</t>
  </si>
  <si>
    <t>متابعة مهام التقنية | محمد</t>
  </si>
  <si>
    <t>متابعة مهام التقنية | زكريا</t>
  </si>
  <si>
    <t>1. مراجعة تجربة تسجيل الدخول والتسجيل بالكامل، والتأكد أنها واضحة وسهلة للمستخدم من البداية إلى النهاية.</t>
  </si>
  <si>
    <t>2. تحسين صفحة اللعب بحيث تكون أكثر وضوحًا واحترافية، مع إضافة زر واضح للعودة إلى الصفحة الرئيسية من داخل صفحة اللعب.</t>
  </si>
  <si>
    <t>3. إعادة تصميم رقعة اللعب بصريًا، واستبدال الشكل الحالي بتصميم أقرب لطاولة لعب واقعية.</t>
  </si>
  <si>
    <t>4. تعديل ألوان رقعة اللعب بحيث تكون الأبيض مع البنفسجي بنفس درجة ألوان الموقع، مع حذف اللون البني الموجود حاليًا.</t>
  </si>
  <si>
    <t>5. إضافة صورة أو تصميم مناسب لمنطقة اللعب بدل الرقعة الحالية في واجهات العرض.</t>
  </si>
  <si>
    <t>6. تجهيز تصميمين واضحين للمنصة:
نسخة مناسبة للجوال، ونسخة مناسبة للكمبيوتر.</t>
  </si>
  <si>
    <t>7. حذف تدوير الرقعة، بحيث يبقى اللاعب دائمًا في الأسفل سواء كان يلعب بالأبيض أو الأسود.</t>
  </si>
  <si>
    <t>8. ترتيب منطقة الأحجار الميتة في صفحة اللعب، ووضعها في يسار الرقعة بعد قائمة النقلات.</t>
  </si>
  <si>
    <t>9. إضافة فاصل واضح بين جنود الاحتياط الخاصة بكل لاعب.</t>
  </si>
  <si>
    <t>11. إضافة قياس نقطي داخل سجل النقلات، بحيث يمكن استخدامه لاحقًا في التصنيف والبطولات وتقييم اللاعبين.</t>
  </si>
  <si>
    <t>14. إضافة إمكانية تحديد لون اللاعب قبل بداية المباراة أو حسب نظام المباراة المعتمد.</t>
  </si>
  <si>
    <t>17. حذف الشروط والملكية الفكرية من صفحة اللعب إذا كانت ظاهرة داخل تجربة اللعب.</t>
  </si>
  <si>
    <t>19. مراجعة الواجهات الحالية بالكامل وتحديد أي عناصر تحتاج تبسيط أو إعادة ترتيب.</t>
  </si>
  <si>
    <t xml:space="preserve">20. التأكد أن التصميم النهائي مناسب للتسويق التجاري ويعطي انطباعًا احترافيًا عن اللعبة.
</t>
  </si>
  <si>
    <t>10. تحسين سجل النقلات داخل المباراة، وحذف أي رموز أو حروف غير مفهومة مثل الحروف الصينية.</t>
  </si>
  <si>
    <t>18. ربط حسابات السوشيال ميديا في الموقع والتأكد أن الروابط تعمل بشكل صحيح.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</si>
</sst>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EGP-C01]#,##0.00"/>
  </numFmts>
  <fonts count="11">
    <font>
      <sz val="11"/>
      <color rgb="FF000000"/>
      <name val="Carlito"/>
      <scheme val="minor"/>
    </font>
    <font>
      <b/>
      <sz val="18"/>
      <color rgb="FFFFFFFF"/>
      <name val="Carlito"/>
    </font>
    <font>
      <b/>
      <sz val="12"/>
      <color rgb="FF17365D"/>
      <name val="Carlito"/>
    </font>
    <font>
      <b/>
      <sz val="11"/>
      <color rgb="FFFFFFFF"/>
      <name val="Carlito"/>
    </font>
    <font>
      <sz val="10"/>
      <color rgb="FF1F2937"/>
      <name val="Carlito"/>
    </font>
    <font>
      <b/>
      <sz val="20"/>
      <color rgb="FFFFFFFF"/>
      <name val="Carlito"/>
    </font>
    <font>
      <b/>
      <sz val="12"/>
      <color rgb="FFFFFFFF"/>
      <name val="Carlito"/>
    </font>
    <font>
      <b/>
      <sz val="10"/>
      <color rgb="FF17365D"/>
      <name val="Carlito"/>
    </font>
    <font>
      <b/>
      <sz val="20"/>
      <color rgb="FF17365D"/>
      <name val="Carlito"/>
    </font>
    <font>
      <sz val="11"/>
      <color theme="1"/>
      <name val="Carlito"/>
      <scheme val="minor"/>
    </font>
    <font>
      <sz val="12"/>
      <color rgb="FF000000"/>
      <name val="Roboto"/>
    </font>
  </fonts>
  <fills count="7">
    <fill>
      <patternFill patternType="none"/>
    </fill>
    <fill>
      <patternFill patternType="gray125"/>
    </fill>
    <fill>
      <patternFill patternType="solid">
        <fgColor rgb="FF9180C8"/>
        <bgColor rgb="FF9180C8"/>
      </patternFill>
    </fill>
    <fill>
      <patternFill patternType="solid">
        <fgColor rgb="FF17365D"/>
        <bgColor rgb="FF17365D"/>
      </patternFill>
    </fill>
    <fill>
      <patternFill patternType="solid">
        <fgColor rgb="FFF6F7FB"/>
        <bgColor rgb="FFF6F7FB"/>
      </patternFill>
    </fill>
    <fill>
      <patternFill patternType="solid">
        <fgColor rgb="FFDCE6F1"/>
        <bgColor rgb="FFDCE6F1"/>
      </patternFill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3" borderId="0" xfId="0" applyFont="1" applyFill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 wrapText="1"/>
    </xf>
    <xf numFmtId="0" fontId="4" fillId="4" borderId="0" xfId="0" applyFont="1" applyFill="1" applyAlignment="1">
      <alignment horizontal="right" vertical="center" wrapText="1"/>
    </xf>
    <xf numFmtId="0" fontId="4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9" fontId="4" fillId="4" borderId="0" xfId="0" applyNumberFormat="1" applyFont="1" applyFill="1" applyAlignment="1">
      <alignment horizontal="center" vertical="center"/>
    </xf>
    <xf numFmtId="164" fontId="9" fillId="0" borderId="0" xfId="0" applyNumberFormat="1" applyFont="1"/>
    <xf numFmtId="0" fontId="10" fillId="6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/>
    <xf numFmtId="9" fontId="8" fillId="5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25">
    <dxf>
      <font>
        <color rgb="FF595959"/>
      </font>
      <fill>
        <patternFill patternType="solid">
          <fgColor rgb="FFE7E6E6"/>
          <bgColor rgb="FFE7E6E6"/>
        </patternFill>
      </fill>
    </dxf>
    <dxf>
      <font>
        <b/>
        <color rgb="FF9C5700"/>
      </font>
      <fill>
        <patternFill patternType="solid">
          <fgColor rgb="FFFCE5CD"/>
          <bgColor rgb="FFFCE5CD"/>
        </patternFill>
      </fill>
    </dxf>
    <dxf>
      <font>
        <b/>
        <color rgb="FF9C0006"/>
      </font>
      <fill>
        <patternFill patternType="solid">
          <fgColor rgb="FFF4CCCC"/>
          <bgColor rgb="FFF4CCCC"/>
        </patternFill>
      </fill>
    </dxf>
    <dxf>
      <font>
        <b/>
        <color rgb="FF7F6000"/>
      </font>
      <fill>
        <patternFill patternType="solid">
          <fgColor rgb="FFFFF2CC"/>
          <bgColor rgb="FFFFF2CC"/>
        </patternFill>
      </fill>
    </dxf>
    <dxf>
      <font>
        <b/>
        <color rgb="FF37692B"/>
      </font>
      <fill>
        <patternFill patternType="solid">
          <fgColor rgb="FFE2F0D9"/>
          <bgColor rgb="FFE2F0D9"/>
        </patternFill>
      </fill>
    </dxf>
    <dxf>
      <font>
        <color rgb="FF595959"/>
      </font>
      <fill>
        <patternFill patternType="solid">
          <fgColor rgb="FFE7E6E6"/>
          <bgColor rgb="FFE7E6E6"/>
        </patternFill>
      </fill>
    </dxf>
    <dxf>
      <font>
        <b/>
        <color rgb="FF9C5700"/>
      </font>
      <fill>
        <patternFill patternType="solid">
          <fgColor rgb="FFFCE5CD"/>
          <bgColor rgb="FFFCE5CD"/>
        </patternFill>
      </fill>
    </dxf>
    <dxf>
      <font>
        <b/>
        <color rgb="FF9C0006"/>
      </font>
      <fill>
        <patternFill patternType="solid">
          <fgColor rgb="FFF4CCCC"/>
          <bgColor rgb="FFF4CCCC"/>
        </patternFill>
      </fill>
    </dxf>
    <dxf>
      <font>
        <b/>
        <color rgb="FF7F6000"/>
      </font>
      <fill>
        <patternFill patternType="solid">
          <fgColor rgb="FFFFF2CC"/>
          <bgColor rgb="FFFFF2CC"/>
        </patternFill>
      </fill>
    </dxf>
    <dxf>
      <font>
        <b/>
        <color rgb="FF37692B"/>
      </font>
      <fill>
        <patternFill patternType="solid">
          <fgColor rgb="FFE2F0D9"/>
          <bgColor rgb="FFE2F0D9"/>
        </patternFill>
      </fill>
    </dxf>
    <dxf>
      <font>
        <color rgb="FF595959"/>
      </font>
      <fill>
        <patternFill patternType="solid">
          <fgColor rgb="FFE7E6E6"/>
          <bgColor rgb="FFE7E6E6"/>
        </patternFill>
      </fill>
    </dxf>
    <dxf>
      <font>
        <b/>
        <color rgb="FF9C5700"/>
      </font>
      <fill>
        <patternFill patternType="solid">
          <fgColor rgb="FFFCE5CD"/>
          <bgColor rgb="FFFCE5CD"/>
        </patternFill>
      </fill>
    </dxf>
    <dxf>
      <font>
        <b/>
        <color rgb="FF9C0006"/>
      </font>
      <fill>
        <patternFill patternType="solid">
          <fgColor rgb="FFF4CCCC"/>
          <bgColor rgb="FFF4CCCC"/>
        </patternFill>
      </fill>
    </dxf>
    <dxf>
      <font>
        <b/>
        <color rgb="FF7F6000"/>
      </font>
      <fill>
        <patternFill patternType="solid">
          <fgColor rgb="FFFFF2CC"/>
          <bgColor rgb="FFFFF2CC"/>
        </patternFill>
      </fill>
    </dxf>
    <dxf>
      <font>
        <b/>
        <color rgb="FF37692B"/>
      </font>
      <fill>
        <patternFill patternType="solid">
          <fgColor rgb="FFE2F0D9"/>
          <bgColor rgb="FFE2F0D9"/>
        </patternFill>
      </fill>
    </dxf>
    <dxf>
      <font>
        <color rgb="FF595959"/>
      </font>
      <fill>
        <patternFill patternType="solid">
          <fgColor rgb="FFE7E6E6"/>
          <bgColor rgb="FFE7E6E6"/>
        </patternFill>
      </fill>
    </dxf>
    <dxf>
      <font>
        <b/>
        <color rgb="FF9C5700"/>
      </font>
      <fill>
        <patternFill patternType="solid">
          <fgColor rgb="FFFCE5CD"/>
          <bgColor rgb="FFFCE5CD"/>
        </patternFill>
      </fill>
    </dxf>
    <dxf>
      <font>
        <b/>
        <color rgb="FF9C0006"/>
      </font>
      <fill>
        <patternFill patternType="solid">
          <fgColor rgb="FFF4CCCC"/>
          <bgColor rgb="FFF4CCCC"/>
        </patternFill>
      </fill>
    </dxf>
    <dxf>
      <font>
        <b/>
        <color rgb="FF7F6000"/>
      </font>
      <fill>
        <patternFill patternType="solid">
          <fgColor rgb="FFFFF2CC"/>
          <bgColor rgb="FFFFF2CC"/>
        </patternFill>
      </fill>
    </dxf>
    <dxf>
      <font>
        <b/>
        <color rgb="FF37692B"/>
      </font>
      <fill>
        <patternFill patternType="solid">
          <fgColor rgb="FFE2F0D9"/>
          <bgColor rgb="FFE2F0D9"/>
        </patternFill>
      </fill>
    </dxf>
    <dxf>
      <font>
        <color rgb="FF595959"/>
      </font>
      <fill>
        <patternFill patternType="solid">
          <fgColor rgb="FFE7E6E6"/>
          <bgColor rgb="FFE7E6E6"/>
        </patternFill>
      </fill>
    </dxf>
    <dxf>
      <font>
        <b/>
        <color rgb="FF9C5700"/>
      </font>
      <fill>
        <patternFill patternType="solid">
          <fgColor rgb="FFFCE5CD"/>
          <bgColor rgb="FFFCE5CD"/>
        </patternFill>
      </fill>
    </dxf>
    <dxf>
      <font>
        <b/>
        <color rgb="FF9C0006"/>
      </font>
      <fill>
        <patternFill patternType="solid">
          <fgColor rgb="FFF4CCCC"/>
          <bgColor rgb="FFF4CCCC"/>
        </patternFill>
      </fill>
    </dxf>
    <dxf>
      <font>
        <b/>
        <color rgb="FF7F6000"/>
      </font>
      <fill>
        <patternFill patternType="solid">
          <fgColor rgb="FFFFF2CC"/>
          <bgColor rgb="FFFFF2CC"/>
        </patternFill>
      </fill>
    </dxf>
    <dxf>
      <font>
        <b/>
        <color rgb="FF37692B"/>
      </font>
      <fill>
        <patternFill patternType="solid">
          <fgColor rgb="FFE2F0D9"/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الإنجاز</c:v>
          </c:tx>
          <c:spPr>
            <a:solidFill>
              <a:schemeClr val="accent1"/>
            </a:solidFill>
            <a:ln cmpd="sng">
              <a:noFill/>
            </a:ln>
          </c:spPr>
          <c:invertIfNegative val="1"/>
          <c:cat>
            <c:strRef>
              <c:f>Dashboard!$A$7:$A$11</c:f>
              <c:strCache>
                <c:ptCount val="5"/>
                <c:pt idx="0">
                  <c:v>بلال</c:v>
                </c:pt>
                <c:pt idx="1">
                  <c:v>منار</c:v>
                </c:pt>
                <c:pt idx="2">
                  <c:v>مقرن</c:v>
                </c:pt>
                <c:pt idx="3">
                  <c:v>محمد</c:v>
                </c:pt>
                <c:pt idx="4">
                  <c:v>زكريا</c:v>
                </c:pt>
              </c:strCache>
            </c:strRef>
          </c:cat>
          <c:val>
            <c:numRef>
              <c:f>Dashboard!$H$7:$H$11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E6E-4C40-AA1D-A4B50E4B8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335863"/>
        <c:axId val="1999951256"/>
      </c:barChart>
      <c:catAx>
        <c:axId val="455335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99951256"/>
        <c:crosses val="autoZero"/>
        <c:auto val="1"/>
        <c:lblAlgn val="ctr"/>
        <c:lblOffset val="100"/>
        <c:noMultiLvlLbl val="1"/>
      </c:catAx>
      <c:valAx>
        <c:axId val="19999512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55335863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18</xdr:row>
      <xdr:rowOff>0</xdr:rowOff>
    </xdr:from>
    <xdr:ext cx="9525000" cy="3200400"/>
    <xdr:graphicFrame macro="">
      <xdr:nvGraphicFramePr>
        <xdr:cNvPr id="2001608680" name="Chart 1">
          <a:extLst>
            <a:ext uri="{FF2B5EF4-FFF2-40B4-BE49-F238E27FC236}">
              <a16:creationId xmlns:a16="http://schemas.microsoft.com/office/drawing/2014/main" id="{00000000-0008-0000-0000-0000E81F4E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00"/>
  <sheetViews>
    <sheetView rightToLeft="1" tabSelected="1" workbookViewId="0">
      <selection sqref="A1:H1"/>
    </sheetView>
  </sheetViews>
  <sheetFormatPr defaultColWidth="12.625" defaultRowHeight="15" customHeight="1"/>
  <cols>
    <col min="1" max="1" width="18" customWidth="1"/>
    <col min="2" max="2" width="16" customWidth="1"/>
    <col min="3" max="3" width="13" customWidth="1"/>
    <col min="4" max="4" width="16" customWidth="1"/>
    <col min="5" max="5" width="13" customWidth="1"/>
    <col min="6" max="6" width="18" customWidth="1"/>
    <col min="7" max="7" width="13" customWidth="1"/>
    <col min="8" max="8" width="18" customWidth="1"/>
    <col min="9" max="26" width="8.625" customWidth="1"/>
  </cols>
  <sheetData>
    <row r="1" spans="1:11" ht="36" customHeight="1">
      <c r="A1" s="19" t="s">
        <v>0</v>
      </c>
      <c r="B1" s="17"/>
      <c r="C1" s="17"/>
      <c r="D1" s="17"/>
      <c r="E1" s="17"/>
      <c r="F1" s="17"/>
      <c r="G1" s="17"/>
      <c r="H1" s="17"/>
    </row>
    <row r="2" spans="1:11" ht="24" customHeight="1">
      <c r="A2" s="20" t="s">
        <v>8</v>
      </c>
      <c r="B2" s="17"/>
      <c r="C2" s="17"/>
      <c r="D2" s="17"/>
      <c r="E2" s="17"/>
      <c r="F2" s="17"/>
      <c r="G2" s="17"/>
      <c r="H2" s="17"/>
    </row>
    <row r="4" spans="1:11" ht="24" customHeight="1">
      <c r="A4" s="21" t="s">
        <v>9</v>
      </c>
      <c r="B4" s="17"/>
      <c r="C4" s="17"/>
      <c r="D4" s="17"/>
      <c r="E4" s="17"/>
      <c r="F4" s="17"/>
      <c r="G4" s="17"/>
      <c r="H4" s="17"/>
    </row>
    <row r="6" spans="1:11" ht="27.75" customHeight="1">
      <c r="A6" s="7" t="s">
        <v>10</v>
      </c>
      <c r="B6" s="7" t="s">
        <v>11</v>
      </c>
      <c r="C6" s="7" t="s">
        <v>12</v>
      </c>
      <c r="D6" s="7" t="s">
        <v>13</v>
      </c>
      <c r="E6" s="7" t="s">
        <v>14</v>
      </c>
      <c r="F6" s="7" t="s">
        <v>15</v>
      </c>
      <c r="G6" s="7" t="s">
        <v>16</v>
      </c>
      <c r="H6" s="7" t="s">
        <v>17</v>
      </c>
    </row>
    <row r="7" spans="1:11" ht="24" customHeight="1">
      <c r="A7" s="8" t="s">
        <v>18</v>
      </c>
      <c r="B7" s="9">
        <f>COUNTIF(بلال!$A$5:$A$104,"&lt;&gt;")</f>
        <v>0</v>
      </c>
      <c r="C7" s="9">
        <f>COUNTIF(بلال!$C$5:$C$104,"مكتمل")</f>
        <v>0</v>
      </c>
      <c r="D7" s="9">
        <f>COUNTIF(بلال!$C$5:$C$104,"قيد التنفيذ")</f>
        <v>0</v>
      </c>
      <c r="E7" s="9">
        <f>COUNTIF(بلال!$C$5:$C$104,"متأخر")</f>
        <v>0</v>
      </c>
      <c r="F7" s="9">
        <f>COUNTIF(بلال!$C$5:$C$104,"متوقف / قرار")</f>
        <v>0</v>
      </c>
      <c r="G7" s="9">
        <f t="shared" ref="G7:G11" si="0">MAX(0,B7-C7-D7-E7-F7)</f>
        <v>0</v>
      </c>
      <c r="H7" s="10">
        <f>IF(B7=0,0,SUMIF(بلال!$A$5:$A$104,"&lt;&gt;",بلال!$D$5:$D$104)/B7)</f>
        <v>0</v>
      </c>
    </row>
    <row r="8" spans="1:11" ht="24" customHeight="1">
      <c r="A8" s="11" t="s">
        <v>19</v>
      </c>
      <c r="B8" s="12">
        <f>COUNTIF(منار!$A$5:$A$104,"&lt;&gt;")</f>
        <v>0</v>
      </c>
      <c r="C8" s="12">
        <f>COUNTIF(منار!$C$5:$C$104,"مكتمل")</f>
        <v>0</v>
      </c>
      <c r="D8" s="12">
        <f>COUNTIF(منار!$C$5:$C$104,"قيد التنفيذ")</f>
        <v>0</v>
      </c>
      <c r="E8" s="12">
        <f>COUNTIF(منار!$C$5:$C$104,"متأخر")</f>
        <v>0</v>
      </c>
      <c r="F8" s="12">
        <f>COUNTIF(منار!$C$5:$C$104,"متوقف / قرار")</f>
        <v>0</v>
      </c>
      <c r="G8" s="12">
        <f t="shared" si="0"/>
        <v>0</v>
      </c>
      <c r="H8" s="13">
        <f>IF(B8=0,0,SUMIF(منار!$A$5:$A$104,"&lt;&gt;",منار!$D$5:$D$104)/B8)</f>
        <v>0</v>
      </c>
    </row>
    <row r="9" spans="1:11" ht="24" customHeight="1">
      <c r="A9" s="8" t="s">
        <v>20</v>
      </c>
      <c r="B9" s="9">
        <f>COUNTIF(مقرن!$A$5:$A$104,"&lt;&gt;")</f>
        <v>0</v>
      </c>
      <c r="C9" s="9">
        <f>COUNTIF(مقرن!$C$5:$C$104,"مكتمل")</f>
        <v>0</v>
      </c>
      <c r="D9" s="9">
        <f>COUNTIF(مقرن!$C$5:$C$104,"قيد التنفيذ")</f>
        <v>0</v>
      </c>
      <c r="E9" s="9">
        <f>COUNTIF(مقرن!$C$5:$C$104,"متأخر")</f>
        <v>0</v>
      </c>
      <c r="F9" s="9">
        <f>COUNTIF(مقرن!$C$5:$C$104,"متوقف / قرار")</f>
        <v>0</v>
      </c>
      <c r="G9" s="9">
        <f t="shared" si="0"/>
        <v>0</v>
      </c>
      <c r="H9" s="10">
        <f>IF(B9=0,0,SUMIF(مقرن!$A$5:$A$104,"&lt;&gt;",مقرن!$D$5:$D$104)/B9)</f>
        <v>0</v>
      </c>
    </row>
    <row r="10" spans="1:11" ht="24" customHeight="1">
      <c r="A10" s="11" t="s">
        <v>21</v>
      </c>
      <c r="B10" s="12">
        <f>COUNTIF(محمد!$A$5:$A$104,"&lt;&gt;")</f>
        <v>10</v>
      </c>
      <c r="C10" s="12">
        <f>COUNTIF(محمد!$C$5:$C$104,"مكتمل")</f>
        <v>0</v>
      </c>
      <c r="D10" s="12">
        <f>COUNTIF(محمد!$C$5:$C$104,"قيد التنفيذ")</f>
        <v>0</v>
      </c>
      <c r="E10" s="12">
        <f>COUNTIF(محمد!$C$5:$C$104,"متأخر")</f>
        <v>0</v>
      </c>
      <c r="F10" s="12">
        <f>COUNTIF(محمد!$C$5:$C$104,"متوقف / قرار")</f>
        <v>0</v>
      </c>
      <c r="G10" s="12">
        <f t="shared" si="0"/>
        <v>10</v>
      </c>
      <c r="H10" s="13">
        <f>IF(B10=0,0,SUMIF(محمد!$A$5:$A$104,"&lt;&gt;",محمد!$D$5:$D$104)/B10)</f>
        <v>0</v>
      </c>
    </row>
    <row r="11" spans="1:11" ht="24" customHeight="1">
      <c r="A11" s="8" t="s">
        <v>22</v>
      </c>
      <c r="B11" s="9">
        <f>COUNTIF(زكريا!$A$5:$A$104,"&lt;&gt;")</f>
        <v>14</v>
      </c>
      <c r="C11" s="9">
        <f>COUNTIF(زكريا!$C$5:$C$104,"مكتمل")</f>
        <v>12</v>
      </c>
      <c r="D11" s="9">
        <f>COUNTIF(زكريا!$C$5:$C$104,"قيد التنفيذ")</f>
        <v>2</v>
      </c>
      <c r="E11" s="9">
        <f>COUNTIF(زكريا!$C$5:$C$104,"متأخر")</f>
        <v>0</v>
      </c>
      <c r="F11" s="9">
        <f>COUNTIF(زكريا!$C$5:$C$104,"متوقف / قرار")</f>
        <v>0</v>
      </c>
      <c r="G11" s="9">
        <f t="shared" si="0"/>
        <v>0</v>
      </c>
      <c r="H11" s="10">
        <f>IF(B11=0,0,SUMIF(زكريا!$A$5:$A$104,"&lt;&gt;",زكريا!$D$5:$D$104)/B11)</f>
        <v>0</v>
      </c>
    </row>
    <row r="14" spans="1:11" ht="24" customHeight="1">
      <c r="A14" s="22" t="s">
        <v>11</v>
      </c>
      <c r="B14" s="17"/>
      <c r="C14" s="22" t="s">
        <v>23</v>
      </c>
      <c r="D14" s="17"/>
      <c r="E14" s="22" t="s">
        <v>13</v>
      </c>
      <c r="F14" s="17"/>
      <c r="G14" s="22" t="s">
        <v>24</v>
      </c>
      <c r="H14" s="17"/>
    </row>
    <row r="15" spans="1:11" ht="27.75" customHeight="1">
      <c r="A15" s="16">
        <f>SUM(B7:B11)</f>
        <v>24</v>
      </c>
      <c r="B15" s="17"/>
      <c r="C15" s="16">
        <f>SUM(C7:C11)</f>
        <v>12</v>
      </c>
      <c r="D15" s="17"/>
      <c r="E15" s="16">
        <f>SUM(D7:D11)</f>
        <v>2</v>
      </c>
      <c r="F15" s="17"/>
      <c r="G15" s="18">
        <f>IF(SUM(B7:B11)=0,0,SUMPRODUCT(B7:B11,H7:H11)/SUM(B7:B11))</f>
        <v>0</v>
      </c>
      <c r="H15" s="17"/>
      <c r="K15" s="14"/>
    </row>
    <row r="16" spans="1:11" ht="27.75" customHeight="1">
      <c r="A16" s="17"/>
      <c r="B16" s="17"/>
      <c r="C16" s="17"/>
      <c r="D16" s="17"/>
      <c r="E16" s="17"/>
      <c r="F16" s="17"/>
      <c r="G16" s="17"/>
      <c r="H16" s="1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A15:B16"/>
    <mergeCell ref="C15:D16"/>
    <mergeCell ref="E15:F16"/>
    <mergeCell ref="G15:H16"/>
    <mergeCell ref="A1:H1"/>
    <mergeCell ref="A2:H2"/>
    <mergeCell ref="A4:H4"/>
    <mergeCell ref="A14:B14"/>
    <mergeCell ref="C14:D14"/>
    <mergeCell ref="E14:F14"/>
    <mergeCell ref="G14:H14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000"/>
  <sheetViews>
    <sheetView rightToLeft="1" workbookViewId="0"/>
  </sheetViews>
  <sheetFormatPr defaultColWidth="12.625" defaultRowHeight="15" customHeight="1"/>
  <cols>
    <col min="1" max="1" width="46" customWidth="1"/>
    <col min="2" max="2" width="16" customWidth="1"/>
    <col min="3" max="3" width="19" customWidth="1"/>
    <col min="4" max="4" width="15" customWidth="1"/>
    <col min="5" max="26" width="8.625" customWidth="1"/>
  </cols>
  <sheetData>
    <row r="1" spans="1:4" ht="33.75" customHeight="1">
      <c r="A1" s="23" t="s">
        <v>0</v>
      </c>
      <c r="B1" s="17"/>
      <c r="C1" s="17"/>
      <c r="D1" s="17"/>
    </row>
    <row r="2" spans="1:4" ht="24" customHeight="1">
      <c r="A2" s="20" t="s">
        <v>7</v>
      </c>
      <c r="B2" s="17"/>
      <c r="C2" s="17"/>
      <c r="D2" s="17"/>
    </row>
    <row r="4" spans="1:4" ht="27.75" customHeight="1">
      <c r="A4" s="1" t="s">
        <v>2</v>
      </c>
      <c r="B4" s="1" t="s">
        <v>4</v>
      </c>
      <c r="C4" s="1" t="s">
        <v>5</v>
      </c>
      <c r="D4" s="1" t="s">
        <v>6</v>
      </c>
    </row>
    <row r="5" spans="1:4" ht="24" customHeight="1">
      <c r="A5" s="2"/>
      <c r="B5" s="3" t="str">
        <f t="shared" ref="B5:B104" si="0">IF(A5&lt;&gt;"","بلال","")</f>
        <v/>
      </c>
      <c r="C5" s="3"/>
      <c r="D5" s="4"/>
    </row>
    <row r="6" spans="1:4" ht="24" customHeight="1">
      <c r="A6" s="5"/>
      <c r="B6" s="6" t="str">
        <f t="shared" si="0"/>
        <v/>
      </c>
      <c r="C6" s="3"/>
      <c r="D6" s="4"/>
    </row>
    <row r="7" spans="1:4" ht="24" customHeight="1">
      <c r="A7" s="2"/>
      <c r="B7" s="3" t="str">
        <f t="shared" si="0"/>
        <v/>
      </c>
      <c r="C7" s="3"/>
      <c r="D7" s="4"/>
    </row>
    <row r="8" spans="1:4" ht="24" customHeight="1">
      <c r="A8" s="5"/>
      <c r="B8" s="6" t="str">
        <f t="shared" si="0"/>
        <v/>
      </c>
      <c r="C8" s="3"/>
      <c r="D8" s="4"/>
    </row>
    <row r="9" spans="1:4" ht="24" customHeight="1">
      <c r="A9" s="2"/>
      <c r="B9" s="3" t="str">
        <f t="shared" si="0"/>
        <v/>
      </c>
      <c r="C9" s="3"/>
      <c r="D9" s="4"/>
    </row>
    <row r="10" spans="1:4" ht="24" customHeight="1">
      <c r="A10" s="5"/>
      <c r="B10" s="6" t="str">
        <f t="shared" si="0"/>
        <v/>
      </c>
      <c r="C10" s="3"/>
      <c r="D10" s="4"/>
    </row>
    <row r="11" spans="1:4" ht="24" customHeight="1">
      <c r="A11" s="2"/>
      <c r="B11" s="3" t="str">
        <f t="shared" si="0"/>
        <v/>
      </c>
      <c r="C11" s="3"/>
      <c r="D11" s="4"/>
    </row>
    <row r="12" spans="1:4" ht="24" customHeight="1">
      <c r="A12" s="5"/>
      <c r="B12" s="6" t="str">
        <f t="shared" si="0"/>
        <v/>
      </c>
      <c r="C12" s="3"/>
      <c r="D12" s="4"/>
    </row>
    <row r="13" spans="1:4" ht="24" customHeight="1">
      <c r="A13" s="2"/>
      <c r="B13" s="3" t="str">
        <f t="shared" si="0"/>
        <v/>
      </c>
      <c r="C13" s="3"/>
      <c r="D13" s="4"/>
    </row>
    <row r="14" spans="1:4" ht="24" customHeight="1">
      <c r="A14" s="5"/>
      <c r="B14" s="6" t="str">
        <f t="shared" si="0"/>
        <v/>
      </c>
      <c r="C14" s="3"/>
      <c r="D14" s="4"/>
    </row>
    <row r="15" spans="1:4" ht="24" customHeight="1">
      <c r="A15" s="2"/>
      <c r="B15" s="3" t="str">
        <f t="shared" si="0"/>
        <v/>
      </c>
      <c r="C15" s="3"/>
      <c r="D15" s="4"/>
    </row>
    <row r="16" spans="1:4" ht="24" customHeight="1">
      <c r="A16" s="5"/>
      <c r="B16" s="6" t="str">
        <f t="shared" si="0"/>
        <v/>
      </c>
      <c r="C16" s="3"/>
      <c r="D16" s="4"/>
    </row>
    <row r="17" spans="1:4" ht="24" customHeight="1">
      <c r="A17" s="2"/>
      <c r="B17" s="3" t="str">
        <f t="shared" si="0"/>
        <v/>
      </c>
      <c r="C17" s="3"/>
      <c r="D17" s="4"/>
    </row>
    <row r="18" spans="1:4" ht="24" customHeight="1">
      <c r="A18" s="5"/>
      <c r="B18" s="6" t="str">
        <f t="shared" si="0"/>
        <v/>
      </c>
      <c r="C18" s="3"/>
      <c r="D18" s="4"/>
    </row>
    <row r="19" spans="1:4" ht="24" customHeight="1">
      <c r="A19" s="2"/>
      <c r="B19" s="3" t="str">
        <f t="shared" si="0"/>
        <v/>
      </c>
      <c r="C19" s="3"/>
      <c r="D19" s="4"/>
    </row>
    <row r="20" spans="1:4" ht="24" customHeight="1">
      <c r="A20" s="5"/>
      <c r="B20" s="6" t="str">
        <f t="shared" si="0"/>
        <v/>
      </c>
      <c r="C20" s="3"/>
      <c r="D20" s="4"/>
    </row>
    <row r="21" spans="1:4" ht="24" customHeight="1">
      <c r="A21" s="2"/>
      <c r="B21" s="3" t="str">
        <f t="shared" si="0"/>
        <v/>
      </c>
      <c r="C21" s="3"/>
      <c r="D21" s="4"/>
    </row>
    <row r="22" spans="1:4" ht="24" customHeight="1">
      <c r="A22" s="5"/>
      <c r="B22" s="6" t="str">
        <f t="shared" si="0"/>
        <v/>
      </c>
      <c r="C22" s="3"/>
      <c r="D22" s="4"/>
    </row>
    <row r="23" spans="1:4" ht="24" customHeight="1">
      <c r="A23" s="2"/>
      <c r="B23" s="3" t="str">
        <f t="shared" si="0"/>
        <v/>
      </c>
      <c r="C23" s="3"/>
      <c r="D23" s="4"/>
    </row>
    <row r="24" spans="1:4" ht="24" customHeight="1">
      <c r="A24" s="5"/>
      <c r="B24" s="6" t="str">
        <f t="shared" si="0"/>
        <v/>
      </c>
      <c r="C24" s="3"/>
      <c r="D24" s="4"/>
    </row>
    <row r="25" spans="1:4" ht="24" customHeight="1">
      <c r="A25" s="2"/>
      <c r="B25" s="3" t="str">
        <f t="shared" si="0"/>
        <v/>
      </c>
      <c r="C25" s="3"/>
      <c r="D25" s="4"/>
    </row>
    <row r="26" spans="1:4" ht="24" customHeight="1">
      <c r="A26" s="5"/>
      <c r="B26" s="6" t="str">
        <f t="shared" si="0"/>
        <v/>
      </c>
      <c r="C26" s="3"/>
      <c r="D26" s="4"/>
    </row>
    <row r="27" spans="1:4" ht="24" customHeight="1">
      <c r="A27" s="2"/>
      <c r="B27" s="3" t="str">
        <f t="shared" si="0"/>
        <v/>
      </c>
      <c r="C27" s="3"/>
      <c r="D27" s="4"/>
    </row>
    <row r="28" spans="1:4" ht="24" customHeight="1">
      <c r="A28" s="5"/>
      <c r="B28" s="6" t="str">
        <f t="shared" si="0"/>
        <v/>
      </c>
      <c r="C28" s="3"/>
      <c r="D28" s="4"/>
    </row>
    <row r="29" spans="1:4" ht="24" customHeight="1">
      <c r="A29" s="2"/>
      <c r="B29" s="3" t="str">
        <f t="shared" si="0"/>
        <v/>
      </c>
      <c r="C29" s="3"/>
      <c r="D29" s="4"/>
    </row>
    <row r="30" spans="1:4" ht="24" customHeight="1">
      <c r="A30" s="5"/>
      <c r="B30" s="6" t="str">
        <f t="shared" si="0"/>
        <v/>
      </c>
      <c r="C30" s="3"/>
      <c r="D30" s="4"/>
    </row>
    <row r="31" spans="1:4" ht="24" customHeight="1">
      <c r="A31" s="2"/>
      <c r="B31" s="3" t="str">
        <f t="shared" si="0"/>
        <v/>
      </c>
      <c r="C31" s="3"/>
      <c r="D31" s="4"/>
    </row>
    <row r="32" spans="1:4" ht="24" customHeight="1">
      <c r="A32" s="5"/>
      <c r="B32" s="6" t="str">
        <f t="shared" si="0"/>
        <v/>
      </c>
      <c r="C32" s="3"/>
      <c r="D32" s="4"/>
    </row>
    <row r="33" spans="1:4" ht="24" customHeight="1">
      <c r="A33" s="2"/>
      <c r="B33" s="3" t="str">
        <f t="shared" si="0"/>
        <v/>
      </c>
      <c r="C33" s="3"/>
      <c r="D33" s="4"/>
    </row>
    <row r="34" spans="1:4" ht="24" customHeight="1">
      <c r="A34" s="5"/>
      <c r="B34" s="6" t="str">
        <f t="shared" si="0"/>
        <v/>
      </c>
      <c r="C34" s="3"/>
      <c r="D34" s="4"/>
    </row>
    <row r="35" spans="1:4" ht="24" customHeight="1">
      <c r="A35" s="2"/>
      <c r="B35" s="3" t="str">
        <f t="shared" si="0"/>
        <v/>
      </c>
      <c r="C35" s="3"/>
      <c r="D35" s="4"/>
    </row>
    <row r="36" spans="1:4" ht="24" customHeight="1">
      <c r="A36" s="5"/>
      <c r="B36" s="6" t="str">
        <f t="shared" si="0"/>
        <v/>
      </c>
      <c r="C36" s="3"/>
      <c r="D36" s="4"/>
    </row>
    <row r="37" spans="1:4" ht="24" customHeight="1">
      <c r="A37" s="2"/>
      <c r="B37" s="3" t="str">
        <f t="shared" si="0"/>
        <v/>
      </c>
      <c r="C37" s="3"/>
      <c r="D37" s="4"/>
    </row>
    <row r="38" spans="1:4" ht="24" customHeight="1">
      <c r="A38" s="5"/>
      <c r="B38" s="6" t="str">
        <f t="shared" si="0"/>
        <v/>
      </c>
      <c r="C38" s="3"/>
      <c r="D38" s="4"/>
    </row>
    <row r="39" spans="1:4" ht="24" customHeight="1">
      <c r="A39" s="2"/>
      <c r="B39" s="3" t="str">
        <f t="shared" si="0"/>
        <v/>
      </c>
      <c r="C39" s="3"/>
      <c r="D39" s="4"/>
    </row>
    <row r="40" spans="1:4" ht="24" customHeight="1">
      <c r="A40" s="5"/>
      <c r="B40" s="6" t="str">
        <f t="shared" si="0"/>
        <v/>
      </c>
      <c r="C40" s="3"/>
      <c r="D40" s="4"/>
    </row>
    <row r="41" spans="1:4" ht="24" customHeight="1">
      <c r="A41" s="2"/>
      <c r="B41" s="3" t="str">
        <f t="shared" si="0"/>
        <v/>
      </c>
      <c r="C41" s="3"/>
      <c r="D41" s="4"/>
    </row>
    <row r="42" spans="1:4" ht="24" customHeight="1">
      <c r="A42" s="5"/>
      <c r="B42" s="6" t="str">
        <f t="shared" si="0"/>
        <v/>
      </c>
      <c r="C42" s="3"/>
      <c r="D42" s="4"/>
    </row>
    <row r="43" spans="1:4" ht="24" customHeight="1">
      <c r="A43" s="2"/>
      <c r="B43" s="3" t="str">
        <f t="shared" si="0"/>
        <v/>
      </c>
      <c r="C43" s="3"/>
      <c r="D43" s="4"/>
    </row>
    <row r="44" spans="1:4" ht="24" customHeight="1">
      <c r="A44" s="5"/>
      <c r="B44" s="6" t="str">
        <f t="shared" si="0"/>
        <v/>
      </c>
      <c r="C44" s="3"/>
      <c r="D44" s="4"/>
    </row>
    <row r="45" spans="1:4" ht="24" customHeight="1">
      <c r="A45" s="2"/>
      <c r="B45" s="3" t="str">
        <f t="shared" si="0"/>
        <v/>
      </c>
      <c r="C45" s="3"/>
      <c r="D45" s="4"/>
    </row>
    <row r="46" spans="1:4" ht="24" customHeight="1">
      <c r="A46" s="5"/>
      <c r="B46" s="6" t="str">
        <f t="shared" si="0"/>
        <v/>
      </c>
      <c r="C46" s="3"/>
      <c r="D46" s="4"/>
    </row>
    <row r="47" spans="1:4" ht="24" customHeight="1">
      <c r="A47" s="2"/>
      <c r="B47" s="3" t="str">
        <f t="shared" si="0"/>
        <v/>
      </c>
      <c r="C47" s="3"/>
      <c r="D47" s="4"/>
    </row>
    <row r="48" spans="1:4" ht="24" customHeight="1">
      <c r="A48" s="5"/>
      <c r="B48" s="6" t="str">
        <f t="shared" si="0"/>
        <v/>
      </c>
      <c r="C48" s="3"/>
      <c r="D48" s="4"/>
    </row>
    <row r="49" spans="1:4" ht="24" customHeight="1">
      <c r="A49" s="2"/>
      <c r="B49" s="3" t="str">
        <f t="shared" si="0"/>
        <v/>
      </c>
      <c r="C49" s="3"/>
      <c r="D49" s="4"/>
    </row>
    <row r="50" spans="1:4" ht="24" customHeight="1">
      <c r="A50" s="5"/>
      <c r="B50" s="6" t="str">
        <f t="shared" si="0"/>
        <v/>
      </c>
      <c r="C50" s="3"/>
      <c r="D50" s="4"/>
    </row>
    <row r="51" spans="1:4" ht="24" customHeight="1">
      <c r="A51" s="2"/>
      <c r="B51" s="3" t="str">
        <f t="shared" si="0"/>
        <v/>
      </c>
      <c r="C51" s="3"/>
      <c r="D51" s="4"/>
    </row>
    <row r="52" spans="1:4" ht="24" customHeight="1">
      <c r="A52" s="5"/>
      <c r="B52" s="6" t="str">
        <f t="shared" si="0"/>
        <v/>
      </c>
      <c r="C52" s="3"/>
      <c r="D52" s="4"/>
    </row>
    <row r="53" spans="1:4" ht="24" customHeight="1">
      <c r="A53" s="2"/>
      <c r="B53" s="3" t="str">
        <f t="shared" si="0"/>
        <v/>
      </c>
      <c r="C53" s="3"/>
      <c r="D53" s="4"/>
    </row>
    <row r="54" spans="1:4" ht="24" customHeight="1">
      <c r="A54" s="5"/>
      <c r="B54" s="6" t="str">
        <f t="shared" si="0"/>
        <v/>
      </c>
      <c r="C54" s="3"/>
      <c r="D54" s="4"/>
    </row>
    <row r="55" spans="1:4" ht="24" customHeight="1">
      <c r="A55" s="2"/>
      <c r="B55" s="3" t="str">
        <f t="shared" si="0"/>
        <v/>
      </c>
      <c r="C55" s="3"/>
      <c r="D55" s="4"/>
    </row>
    <row r="56" spans="1:4" ht="24" customHeight="1">
      <c r="A56" s="5"/>
      <c r="B56" s="6" t="str">
        <f t="shared" si="0"/>
        <v/>
      </c>
      <c r="C56" s="3"/>
      <c r="D56" s="4"/>
    </row>
    <row r="57" spans="1:4" ht="24" customHeight="1">
      <c r="A57" s="2"/>
      <c r="B57" s="3" t="str">
        <f t="shared" si="0"/>
        <v/>
      </c>
      <c r="C57" s="3"/>
      <c r="D57" s="4"/>
    </row>
    <row r="58" spans="1:4" ht="24" customHeight="1">
      <c r="A58" s="5"/>
      <c r="B58" s="6" t="str">
        <f t="shared" si="0"/>
        <v/>
      </c>
      <c r="C58" s="3"/>
      <c r="D58" s="4"/>
    </row>
    <row r="59" spans="1:4" ht="24" customHeight="1">
      <c r="A59" s="2"/>
      <c r="B59" s="3" t="str">
        <f t="shared" si="0"/>
        <v/>
      </c>
      <c r="C59" s="3"/>
      <c r="D59" s="4"/>
    </row>
    <row r="60" spans="1:4" ht="24" customHeight="1">
      <c r="A60" s="5"/>
      <c r="B60" s="6" t="str">
        <f t="shared" si="0"/>
        <v/>
      </c>
      <c r="C60" s="3"/>
      <c r="D60" s="4"/>
    </row>
    <row r="61" spans="1:4" ht="24" customHeight="1">
      <c r="A61" s="2"/>
      <c r="B61" s="3" t="str">
        <f t="shared" si="0"/>
        <v/>
      </c>
      <c r="C61" s="3"/>
      <c r="D61" s="4"/>
    </row>
    <row r="62" spans="1:4" ht="24" customHeight="1">
      <c r="A62" s="5"/>
      <c r="B62" s="6" t="str">
        <f t="shared" si="0"/>
        <v/>
      </c>
      <c r="C62" s="3"/>
      <c r="D62" s="4"/>
    </row>
    <row r="63" spans="1:4" ht="24" customHeight="1">
      <c r="A63" s="2"/>
      <c r="B63" s="3" t="str">
        <f t="shared" si="0"/>
        <v/>
      </c>
      <c r="C63" s="3"/>
      <c r="D63" s="4"/>
    </row>
    <row r="64" spans="1:4" ht="24" customHeight="1">
      <c r="A64" s="5"/>
      <c r="B64" s="6" t="str">
        <f t="shared" si="0"/>
        <v/>
      </c>
      <c r="C64" s="3"/>
      <c r="D64" s="4"/>
    </row>
    <row r="65" spans="1:4" ht="24" customHeight="1">
      <c r="A65" s="2"/>
      <c r="B65" s="3" t="str">
        <f t="shared" si="0"/>
        <v/>
      </c>
      <c r="C65" s="3"/>
      <c r="D65" s="4"/>
    </row>
    <row r="66" spans="1:4" ht="24" customHeight="1">
      <c r="A66" s="5"/>
      <c r="B66" s="6" t="str">
        <f t="shared" si="0"/>
        <v/>
      </c>
      <c r="C66" s="3"/>
      <c r="D66" s="4"/>
    </row>
    <row r="67" spans="1:4" ht="24" customHeight="1">
      <c r="A67" s="2"/>
      <c r="B67" s="3" t="str">
        <f t="shared" si="0"/>
        <v/>
      </c>
      <c r="C67" s="3"/>
      <c r="D67" s="4"/>
    </row>
    <row r="68" spans="1:4" ht="24" customHeight="1">
      <c r="A68" s="5"/>
      <c r="B68" s="6" t="str">
        <f t="shared" si="0"/>
        <v/>
      </c>
      <c r="C68" s="3"/>
      <c r="D68" s="4"/>
    </row>
    <row r="69" spans="1:4" ht="24" customHeight="1">
      <c r="A69" s="2"/>
      <c r="B69" s="3" t="str">
        <f t="shared" si="0"/>
        <v/>
      </c>
      <c r="C69" s="3"/>
      <c r="D69" s="4"/>
    </row>
    <row r="70" spans="1:4" ht="24" customHeight="1">
      <c r="A70" s="5"/>
      <c r="B70" s="6" t="str">
        <f t="shared" si="0"/>
        <v/>
      </c>
      <c r="C70" s="3"/>
      <c r="D70" s="4"/>
    </row>
    <row r="71" spans="1:4" ht="24" customHeight="1">
      <c r="A71" s="2"/>
      <c r="B71" s="3" t="str">
        <f t="shared" si="0"/>
        <v/>
      </c>
      <c r="C71" s="3"/>
      <c r="D71" s="4"/>
    </row>
    <row r="72" spans="1:4" ht="24" customHeight="1">
      <c r="A72" s="5"/>
      <c r="B72" s="6" t="str">
        <f t="shared" si="0"/>
        <v/>
      </c>
      <c r="C72" s="3"/>
      <c r="D72" s="4"/>
    </row>
    <row r="73" spans="1:4" ht="24" customHeight="1">
      <c r="A73" s="2"/>
      <c r="B73" s="3" t="str">
        <f t="shared" si="0"/>
        <v/>
      </c>
      <c r="C73" s="3"/>
      <c r="D73" s="4"/>
    </row>
    <row r="74" spans="1:4" ht="24" customHeight="1">
      <c r="A74" s="5"/>
      <c r="B74" s="6" t="str">
        <f t="shared" si="0"/>
        <v/>
      </c>
      <c r="C74" s="3"/>
      <c r="D74" s="4"/>
    </row>
    <row r="75" spans="1:4" ht="24" customHeight="1">
      <c r="A75" s="2"/>
      <c r="B75" s="3" t="str">
        <f t="shared" si="0"/>
        <v/>
      </c>
      <c r="C75" s="3"/>
      <c r="D75" s="4"/>
    </row>
    <row r="76" spans="1:4" ht="24" customHeight="1">
      <c r="A76" s="5"/>
      <c r="B76" s="6" t="str">
        <f t="shared" si="0"/>
        <v/>
      </c>
      <c r="C76" s="3"/>
      <c r="D76" s="4"/>
    </row>
    <row r="77" spans="1:4" ht="24" customHeight="1">
      <c r="A77" s="2"/>
      <c r="B77" s="3" t="str">
        <f t="shared" si="0"/>
        <v/>
      </c>
      <c r="C77" s="3"/>
      <c r="D77" s="4"/>
    </row>
    <row r="78" spans="1:4" ht="24" customHeight="1">
      <c r="A78" s="5"/>
      <c r="B78" s="6" t="str">
        <f t="shared" si="0"/>
        <v/>
      </c>
      <c r="C78" s="3"/>
      <c r="D78" s="4"/>
    </row>
    <row r="79" spans="1:4" ht="24" customHeight="1">
      <c r="A79" s="2"/>
      <c r="B79" s="3" t="str">
        <f t="shared" si="0"/>
        <v/>
      </c>
      <c r="C79" s="3"/>
      <c r="D79" s="4"/>
    </row>
    <row r="80" spans="1:4" ht="24" customHeight="1">
      <c r="A80" s="5"/>
      <c r="B80" s="6" t="str">
        <f t="shared" si="0"/>
        <v/>
      </c>
      <c r="C80" s="3"/>
      <c r="D80" s="4"/>
    </row>
    <row r="81" spans="1:4" ht="24" customHeight="1">
      <c r="A81" s="2"/>
      <c r="B81" s="3" t="str">
        <f t="shared" si="0"/>
        <v/>
      </c>
      <c r="C81" s="3"/>
      <c r="D81" s="4"/>
    </row>
    <row r="82" spans="1:4" ht="24" customHeight="1">
      <c r="A82" s="5"/>
      <c r="B82" s="6" t="str">
        <f t="shared" si="0"/>
        <v/>
      </c>
      <c r="C82" s="3"/>
      <c r="D82" s="4"/>
    </row>
    <row r="83" spans="1:4" ht="24" customHeight="1">
      <c r="A83" s="2"/>
      <c r="B83" s="3" t="str">
        <f t="shared" si="0"/>
        <v/>
      </c>
      <c r="C83" s="3"/>
      <c r="D83" s="4"/>
    </row>
    <row r="84" spans="1:4" ht="24" customHeight="1">
      <c r="A84" s="5"/>
      <c r="B84" s="6" t="str">
        <f t="shared" si="0"/>
        <v/>
      </c>
      <c r="C84" s="3"/>
      <c r="D84" s="4"/>
    </row>
    <row r="85" spans="1:4" ht="24" customHeight="1">
      <c r="A85" s="2"/>
      <c r="B85" s="3" t="str">
        <f t="shared" si="0"/>
        <v/>
      </c>
      <c r="C85" s="3"/>
      <c r="D85" s="4"/>
    </row>
    <row r="86" spans="1:4" ht="24" customHeight="1">
      <c r="A86" s="5"/>
      <c r="B86" s="6" t="str">
        <f t="shared" si="0"/>
        <v/>
      </c>
      <c r="C86" s="3"/>
      <c r="D86" s="4"/>
    </row>
    <row r="87" spans="1:4" ht="24" customHeight="1">
      <c r="A87" s="2"/>
      <c r="B87" s="3" t="str">
        <f t="shared" si="0"/>
        <v/>
      </c>
      <c r="C87" s="3"/>
      <c r="D87" s="4"/>
    </row>
    <row r="88" spans="1:4" ht="24" customHeight="1">
      <c r="A88" s="5"/>
      <c r="B88" s="6" t="str">
        <f t="shared" si="0"/>
        <v/>
      </c>
      <c r="C88" s="3"/>
      <c r="D88" s="4"/>
    </row>
    <row r="89" spans="1:4" ht="24" customHeight="1">
      <c r="A89" s="2"/>
      <c r="B89" s="3" t="str">
        <f t="shared" si="0"/>
        <v/>
      </c>
      <c r="C89" s="3"/>
      <c r="D89" s="4"/>
    </row>
    <row r="90" spans="1:4" ht="24" customHeight="1">
      <c r="A90" s="5"/>
      <c r="B90" s="6" t="str">
        <f t="shared" si="0"/>
        <v/>
      </c>
      <c r="C90" s="3"/>
      <c r="D90" s="4"/>
    </row>
    <row r="91" spans="1:4" ht="24" customHeight="1">
      <c r="A91" s="2"/>
      <c r="B91" s="3" t="str">
        <f t="shared" si="0"/>
        <v/>
      </c>
      <c r="C91" s="3"/>
      <c r="D91" s="4"/>
    </row>
    <row r="92" spans="1:4" ht="24" customHeight="1">
      <c r="A92" s="5"/>
      <c r="B92" s="6" t="str">
        <f t="shared" si="0"/>
        <v/>
      </c>
      <c r="C92" s="3"/>
      <c r="D92" s="4"/>
    </row>
    <row r="93" spans="1:4" ht="24" customHeight="1">
      <c r="A93" s="2"/>
      <c r="B93" s="3" t="str">
        <f t="shared" si="0"/>
        <v/>
      </c>
      <c r="C93" s="3"/>
      <c r="D93" s="4"/>
    </row>
    <row r="94" spans="1:4" ht="24" customHeight="1">
      <c r="A94" s="5"/>
      <c r="B94" s="6" t="str">
        <f t="shared" si="0"/>
        <v/>
      </c>
      <c r="C94" s="3"/>
      <c r="D94" s="4"/>
    </row>
    <row r="95" spans="1:4" ht="24" customHeight="1">
      <c r="A95" s="2"/>
      <c r="B95" s="3" t="str">
        <f t="shared" si="0"/>
        <v/>
      </c>
      <c r="C95" s="3"/>
      <c r="D95" s="4"/>
    </row>
    <row r="96" spans="1:4" ht="24" customHeight="1">
      <c r="A96" s="5"/>
      <c r="B96" s="6" t="str">
        <f t="shared" si="0"/>
        <v/>
      </c>
      <c r="C96" s="3"/>
      <c r="D96" s="4"/>
    </row>
    <row r="97" spans="1:4" ht="24" customHeight="1">
      <c r="A97" s="2"/>
      <c r="B97" s="3" t="str">
        <f t="shared" si="0"/>
        <v/>
      </c>
      <c r="C97" s="3"/>
      <c r="D97" s="4"/>
    </row>
    <row r="98" spans="1:4" ht="24" customHeight="1">
      <c r="A98" s="5"/>
      <c r="B98" s="6" t="str">
        <f t="shared" si="0"/>
        <v/>
      </c>
      <c r="C98" s="3"/>
      <c r="D98" s="4"/>
    </row>
    <row r="99" spans="1:4" ht="24" customHeight="1">
      <c r="A99" s="2"/>
      <c r="B99" s="3" t="str">
        <f t="shared" si="0"/>
        <v/>
      </c>
      <c r="C99" s="3"/>
      <c r="D99" s="4"/>
    </row>
    <row r="100" spans="1:4" ht="24" customHeight="1">
      <c r="A100" s="5"/>
      <c r="B100" s="6" t="str">
        <f t="shared" si="0"/>
        <v/>
      </c>
      <c r="C100" s="3"/>
      <c r="D100" s="4"/>
    </row>
    <row r="101" spans="1:4" ht="24" customHeight="1">
      <c r="A101" s="2"/>
      <c r="B101" s="3" t="str">
        <f t="shared" si="0"/>
        <v/>
      </c>
      <c r="C101" s="3"/>
      <c r="D101" s="4"/>
    </row>
    <row r="102" spans="1:4" ht="24" customHeight="1">
      <c r="A102" s="5"/>
      <c r="B102" s="6" t="str">
        <f t="shared" si="0"/>
        <v/>
      </c>
      <c r="C102" s="3"/>
      <c r="D102" s="4"/>
    </row>
    <row r="103" spans="1:4" ht="24" customHeight="1">
      <c r="A103" s="2"/>
      <c r="B103" s="3" t="str">
        <f t="shared" si="0"/>
        <v/>
      </c>
      <c r="C103" s="3"/>
      <c r="D103" s="4"/>
    </row>
    <row r="104" spans="1:4" ht="24" customHeight="1">
      <c r="A104" s="5"/>
      <c r="B104" s="6" t="str">
        <f t="shared" si="0"/>
        <v/>
      </c>
      <c r="C104" s="3"/>
      <c r="D104" s="4"/>
    </row>
    <row r="105" spans="1:4" ht="15.75" customHeight="1"/>
    <row r="106" spans="1:4" ht="15.75" customHeight="1"/>
    <row r="107" spans="1:4" ht="15.75" customHeight="1"/>
    <row r="108" spans="1:4" ht="15.75" customHeight="1"/>
    <row r="109" spans="1:4" ht="15.75" customHeight="1"/>
    <row r="110" spans="1:4" ht="15.75" customHeight="1"/>
    <row r="111" spans="1:4" ht="15.75" customHeight="1"/>
    <row r="112" spans="1:4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2:D2"/>
  </mergeCells>
  <conditionalFormatting sqref="C5:C104">
    <cfRule type="expression" dxfId="24" priority="1">
      <formula>C5="مكتمل"</formula>
    </cfRule>
    <cfRule type="expression" dxfId="23" priority="2">
      <formula>C5="قيد التنفيذ"</formula>
    </cfRule>
    <cfRule type="expression" dxfId="22" priority="3">
      <formula>C5="متأخر"</formula>
    </cfRule>
    <cfRule type="expression" dxfId="21" priority="4">
      <formula>C5="متوقف / قرار"</formula>
    </cfRule>
    <cfRule type="expression" dxfId="20" priority="5">
      <formula>C5="لم يبدأ"</formula>
    </cfRule>
  </conditionalFormatting>
  <dataValidations count="1">
    <dataValidation type="list" allowBlank="1" sqref="C5:C104" xr:uid="{00000000-0002-0000-0100-000000000000}">
      <formula1>"لم يبدأ,قيد التنفيذ,مكتمل,متأخر,متوقف / قرار"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000"/>
  <sheetViews>
    <sheetView rightToLeft="1" workbookViewId="0"/>
  </sheetViews>
  <sheetFormatPr defaultColWidth="12.625" defaultRowHeight="15" customHeight="1"/>
  <cols>
    <col min="1" max="1" width="46" customWidth="1"/>
    <col min="2" max="2" width="16" customWidth="1"/>
    <col min="3" max="3" width="19" customWidth="1"/>
    <col min="4" max="4" width="15" customWidth="1"/>
    <col min="5" max="26" width="8.625" customWidth="1"/>
  </cols>
  <sheetData>
    <row r="1" spans="1:4" ht="33.75" customHeight="1">
      <c r="A1" s="23" t="s">
        <v>0</v>
      </c>
      <c r="B1" s="17"/>
      <c r="C1" s="17"/>
      <c r="D1" s="17"/>
    </row>
    <row r="2" spans="1:4" ht="24" customHeight="1">
      <c r="A2" s="20" t="s">
        <v>3</v>
      </c>
      <c r="B2" s="17"/>
      <c r="C2" s="17"/>
      <c r="D2" s="17"/>
    </row>
    <row r="4" spans="1:4" ht="27.75" customHeight="1">
      <c r="A4" s="1" t="s">
        <v>2</v>
      </c>
      <c r="B4" s="1" t="s">
        <v>4</v>
      </c>
      <c r="C4" s="1" t="s">
        <v>5</v>
      </c>
      <c r="D4" s="1" t="s">
        <v>6</v>
      </c>
    </row>
    <row r="5" spans="1:4" ht="24" customHeight="1">
      <c r="A5" s="2"/>
      <c r="B5" s="3" t="str">
        <f t="shared" ref="B5:B104" si="0">IF(A5&lt;&gt;"","منار","")</f>
        <v/>
      </c>
      <c r="C5" s="3"/>
      <c r="D5" s="4"/>
    </row>
    <row r="6" spans="1:4" ht="24" customHeight="1">
      <c r="A6" s="5"/>
      <c r="B6" s="6" t="str">
        <f t="shared" si="0"/>
        <v/>
      </c>
      <c r="C6" s="3"/>
      <c r="D6" s="4"/>
    </row>
    <row r="7" spans="1:4" ht="24" customHeight="1">
      <c r="A7" s="2"/>
      <c r="B7" s="3" t="str">
        <f t="shared" si="0"/>
        <v/>
      </c>
      <c r="C7" s="3"/>
      <c r="D7" s="4"/>
    </row>
    <row r="8" spans="1:4" ht="24" customHeight="1">
      <c r="A8" s="5"/>
      <c r="B8" s="6" t="str">
        <f t="shared" si="0"/>
        <v/>
      </c>
      <c r="C8" s="3"/>
      <c r="D8" s="4"/>
    </row>
    <row r="9" spans="1:4" ht="24" customHeight="1">
      <c r="A9" s="2"/>
      <c r="B9" s="3" t="str">
        <f t="shared" si="0"/>
        <v/>
      </c>
      <c r="C9" s="3"/>
      <c r="D9" s="4"/>
    </row>
    <row r="10" spans="1:4" ht="24" customHeight="1">
      <c r="A10" s="5"/>
      <c r="B10" s="6" t="str">
        <f t="shared" si="0"/>
        <v/>
      </c>
      <c r="C10" s="3"/>
      <c r="D10" s="4"/>
    </row>
    <row r="11" spans="1:4" ht="24" customHeight="1">
      <c r="A11" s="2"/>
      <c r="B11" s="3" t="str">
        <f t="shared" si="0"/>
        <v/>
      </c>
      <c r="C11" s="3"/>
      <c r="D11" s="4"/>
    </row>
    <row r="12" spans="1:4" ht="24" customHeight="1">
      <c r="A12" s="5"/>
      <c r="B12" s="6" t="str">
        <f t="shared" si="0"/>
        <v/>
      </c>
      <c r="C12" s="3"/>
      <c r="D12" s="4"/>
    </row>
    <row r="13" spans="1:4" ht="24" customHeight="1">
      <c r="A13" s="2"/>
      <c r="B13" s="3" t="str">
        <f t="shared" si="0"/>
        <v/>
      </c>
      <c r="C13" s="3"/>
      <c r="D13" s="4"/>
    </row>
    <row r="14" spans="1:4" ht="24" customHeight="1">
      <c r="A14" s="5"/>
      <c r="B14" s="6" t="str">
        <f t="shared" si="0"/>
        <v/>
      </c>
      <c r="C14" s="3"/>
      <c r="D14" s="4"/>
    </row>
    <row r="15" spans="1:4" ht="24" customHeight="1">
      <c r="A15" s="2"/>
      <c r="B15" s="3" t="str">
        <f t="shared" si="0"/>
        <v/>
      </c>
      <c r="C15" s="3"/>
      <c r="D15" s="4"/>
    </row>
    <row r="16" spans="1:4" ht="24" customHeight="1">
      <c r="A16" s="5"/>
      <c r="B16" s="6" t="str">
        <f t="shared" si="0"/>
        <v/>
      </c>
      <c r="C16" s="3"/>
      <c r="D16" s="4"/>
    </row>
    <row r="17" spans="1:4" ht="24" customHeight="1">
      <c r="A17" s="2"/>
      <c r="B17" s="3" t="str">
        <f t="shared" si="0"/>
        <v/>
      </c>
      <c r="C17" s="3"/>
      <c r="D17" s="4"/>
    </row>
    <row r="18" spans="1:4" ht="24" customHeight="1">
      <c r="A18" s="5"/>
      <c r="B18" s="6" t="str">
        <f t="shared" si="0"/>
        <v/>
      </c>
      <c r="C18" s="3"/>
      <c r="D18" s="4"/>
    </row>
    <row r="19" spans="1:4" ht="24" customHeight="1">
      <c r="A19" s="2"/>
      <c r="B19" s="3" t="str">
        <f t="shared" si="0"/>
        <v/>
      </c>
      <c r="C19" s="3"/>
      <c r="D19" s="4"/>
    </row>
    <row r="20" spans="1:4" ht="24" customHeight="1">
      <c r="A20" s="5"/>
      <c r="B20" s="6" t="str">
        <f t="shared" si="0"/>
        <v/>
      </c>
      <c r="C20" s="3"/>
      <c r="D20" s="4"/>
    </row>
    <row r="21" spans="1:4" ht="24" customHeight="1">
      <c r="A21" s="2"/>
      <c r="B21" s="3" t="str">
        <f t="shared" si="0"/>
        <v/>
      </c>
      <c r="C21" s="3"/>
      <c r="D21" s="4"/>
    </row>
    <row r="22" spans="1:4" ht="24" customHeight="1">
      <c r="A22" s="5"/>
      <c r="B22" s="6" t="str">
        <f t="shared" si="0"/>
        <v/>
      </c>
      <c r="C22" s="3"/>
      <c r="D22" s="4"/>
    </row>
    <row r="23" spans="1:4" ht="24" customHeight="1">
      <c r="A23" s="2"/>
      <c r="B23" s="3" t="str">
        <f t="shared" si="0"/>
        <v/>
      </c>
      <c r="C23" s="3"/>
      <c r="D23" s="4"/>
    </row>
    <row r="24" spans="1:4" ht="24" customHeight="1">
      <c r="A24" s="5"/>
      <c r="B24" s="6" t="str">
        <f t="shared" si="0"/>
        <v/>
      </c>
      <c r="C24" s="3"/>
      <c r="D24" s="4"/>
    </row>
    <row r="25" spans="1:4" ht="24" customHeight="1">
      <c r="A25" s="2"/>
      <c r="B25" s="3" t="str">
        <f t="shared" si="0"/>
        <v/>
      </c>
      <c r="C25" s="3"/>
      <c r="D25" s="4"/>
    </row>
    <row r="26" spans="1:4" ht="24" customHeight="1">
      <c r="A26" s="5"/>
      <c r="B26" s="6" t="str">
        <f t="shared" si="0"/>
        <v/>
      </c>
      <c r="C26" s="3"/>
      <c r="D26" s="4"/>
    </row>
    <row r="27" spans="1:4" ht="24" customHeight="1">
      <c r="A27" s="2"/>
      <c r="B27" s="3" t="str">
        <f t="shared" si="0"/>
        <v/>
      </c>
      <c r="C27" s="3"/>
      <c r="D27" s="4"/>
    </row>
    <row r="28" spans="1:4" ht="24" customHeight="1">
      <c r="A28" s="5"/>
      <c r="B28" s="6" t="str">
        <f t="shared" si="0"/>
        <v/>
      </c>
      <c r="C28" s="3"/>
      <c r="D28" s="4"/>
    </row>
    <row r="29" spans="1:4" ht="24" customHeight="1">
      <c r="A29" s="2"/>
      <c r="B29" s="3" t="str">
        <f t="shared" si="0"/>
        <v/>
      </c>
      <c r="C29" s="3"/>
      <c r="D29" s="4"/>
    </row>
    <row r="30" spans="1:4" ht="24" customHeight="1">
      <c r="A30" s="5"/>
      <c r="B30" s="6" t="str">
        <f t="shared" si="0"/>
        <v/>
      </c>
      <c r="C30" s="3"/>
      <c r="D30" s="4"/>
    </row>
    <row r="31" spans="1:4" ht="24" customHeight="1">
      <c r="A31" s="2"/>
      <c r="B31" s="3" t="str">
        <f t="shared" si="0"/>
        <v/>
      </c>
      <c r="C31" s="3"/>
      <c r="D31" s="4"/>
    </row>
    <row r="32" spans="1:4" ht="24" customHeight="1">
      <c r="A32" s="5"/>
      <c r="B32" s="6" t="str">
        <f t="shared" si="0"/>
        <v/>
      </c>
      <c r="C32" s="3"/>
      <c r="D32" s="4"/>
    </row>
    <row r="33" spans="1:4" ht="24" customHeight="1">
      <c r="A33" s="2"/>
      <c r="B33" s="3" t="str">
        <f t="shared" si="0"/>
        <v/>
      </c>
      <c r="C33" s="3"/>
      <c r="D33" s="4"/>
    </row>
    <row r="34" spans="1:4" ht="24" customHeight="1">
      <c r="A34" s="5"/>
      <c r="B34" s="6" t="str">
        <f t="shared" si="0"/>
        <v/>
      </c>
      <c r="C34" s="3"/>
      <c r="D34" s="4"/>
    </row>
    <row r="35" spans="1:4" ht="24" customHeight="1">
      <c r="A35" s="2"/>
      <c r="B35" s="3" t="str">
        <f t="shared" si="0"/>
        <v/>
      </c>
      <c r="C35" s="3"/>
      <c r="D35" s="4"/>
    </row>
    <row r="36" spans="1:4" ht="24" customHeight="1">
      <c r="A36" s="5"/>
      <c r="B36" s="6" t="str">
        <f t="shared" si="0"/>
        <v/>
      </c>
      <c r="C36" s="3"/>
      <c r="D36" s="4"/>
    </row>
    <row r="37" spans="1:4" ht="24" customHeight="1">
      <c r="A37" s="2"/>
      <c r="B37" s="3" t="str">
        <f t="shared" si="0"/>
        <v/>
      </c>
      <c r="C37" s="3"/>
      <c r="D37" s="4"/>
    </row>
    <row r="38" spans="1:4" ht="24" customHeight="1">
      <c r="A38" s="5"/>
      <c r="B38" s="6" t="str">
        <f t="shared" si="0"/>
        <v/>
      </c>
      <c r="C38" s="3"/>
      <c r="D38" s="4"/>
    </row>
    <row r="39" spans="1:4" ht="24" customHeight="1">
      <c r="A39" s="2"/>
      <c r="B39" s="3" t="str">
        <f t="shared" si="0"/>
        <v/>
      </c>
      <c r="C39" s="3"/>
      <c r="D39" s="4"/>
    </row>
    <row r="40" spans="1:4" ht="24" customHeight="1">
      <c r="A40" s="5"/>
      <c r="B40" s="6" t="str">
        <f t="shared" si="0"/>
        <v/>
      </c>
      <c r="C40" s="3"/>
      <c r="D40" s="4"/>
    </row>
    <row r="41" spans="1:4" ht="24" customHeight="1">
      <c r="A41" s="2"/>
      <c r="B41" s="3" t="str">
        <f t="shared" si="0"/>
        <v/>
      </c>
      <c r="C41" s="3"/>
      <c r="D41" s="4"/>
    </row>
    <row r="42" spans="1:4" ht="24" customHeight="1">
      <c r="A42" s="5"/>
      <c r="B42" s="6" t="str">
        <f t="shared" si="0"/>
        <v/>
      </c>
      <c r="C42" s="3"/>
      <c r="D42" s="4"/>
    </row>
    <row r="43" spans="1:4" ht="24" customHeight="1">
      <c r="A43" s="2"/>
      <c r="B43" s="3" t="str">
        <f t="shared" si="0"/>
        <v/>
      </c>
      <c r="C43" s="3"/>
      <c r="D43" s="4"/>
    </row>
    <row r="44" spans="1:4" ht="24" customHeight="1">
      <c r="A44" s="5"/>
      <c r="B44" s="6" t="str">
        <f t="shared" si="0"/>
        <v/>
      </c>
      <c r="C44" s="3"/>
      <c r="D44" s="4"/>
    </row>
    <row r="45" spans="1:4" ht="24" customHeight="1">
      <c r="A45" s="2"/>
      <c r="B45" s="3" t="str">
        <f t="shared" si="0"/>
        <v/>
      </c>
      <c r="C45" s="3"/>
      <c r="D45" s="4"/>
    </row>
    <row r="46" spans="1:4" ht="24" customHeight="1">
      <c r="A46" s="5"/>
      <c r="B46" s="6" t="str">
        <f t="shared" si="0"/>
        <v/>
      </c>
      <c r="C46" s="3"/>
      <c r="D46" s="4"/>
    </row>
    <row r="47" spans="1:4" ht="24" customHeight="1">
      <c r="A47" s="2"/>
      <c r="B47" s="3" t="str">
        <f t="shared" si="0"/>
        <v/>
      </c>
      <c r="C47" s="3"/>
      <c r="D47" s="4"/>
    </row>
    <row r="48" spans="1:4" ht="24" customHeight="1">
      <c r="A48" s="5"/>
      <c r="B48" s="6" t="str">
        <f t="shared" si="0"/>
        <v/>
      </c>
      <c r="C48" s="3"/>
      <c r="D48" s="4"/>
    </row>
    <row r="49" spans="1:4" ht="24" customHeight="1">
      <c r="A49" s="2"/>
      <c r="B49" s="3" t="str">
        <f t="shared" si="0"/>
        <v/>
      </c>
      <c r="C49" s="3"/>
      <c r="D49" s="4"/>
    </row>
    <row r="50" spans="1:4" ht="24" customHeight="1">
      <c r="A50" s="5"/>
      <c r="B50" s="6" t="str">
        <f t="shared" si="0"/>
        <v/>
      </c>
      <c r="C50" s="3"/>
      <c r="D50" s="4"/>
    </row>
    <row r="51" spans="1:4" ht="24" customHeight="1">
      <c r="A51" s="2"/>
      <c r="B51" s="3" t="str">
        <f t="shared" si="0"/>
        <v/>
      </c>
      <c r="C51" s="3"/>
      <c r="D51" s="4"/>
    </row>
    <row r="52" spans="1:4" ht="24" customHeight="1">
      <c r="A52" s="5"/>
      <c r="B52" s="6" t="str">
        <f t="shared" si="0"/>
        <v/>
      </c>
      <c r="C52" s="3"/>
      <c r="D52" s="4"/>
    </row>
    <row r="53" spans="1:4" ht="24" customHeight="1">
      <c r="A53" s="2"/>
      <c r="B53" s="3" t="str">
        <f t="shared" si="0"/>
        <v/>
      </c>
      <c r="C53" s="3"/>
      <c r="D53" s="4"/>
    </row>
    <row r="54" spans="1:4" ht="24" customHeight="1">
      <c r="A54" s="5"/>
      <c r="B54" s="6" t="str">
        <f t="shared" si="0"/>
        <v/>
      </c>
      <c r="C54" s="3"/>
      <c r="D54" s="4"/>
    </row>
    <row r="55" spans="1:4" ht="24" customHeight="1">
      <c r="A55" s="2"/>
      <c r="B55" s="3" t="str">
        <f t="shared" si="0"/>
        <v/>
      </c>
      <c r="C55" s="3"/>
      <c r="D55" s="4"/>
    </row>
    <row r="56" spans="1:4" ht="24" customHeight="1">
      <c r="A56" s="5"/>
      <c r="B56" s="6" t="str">
        <f t="shared" si="0"/>
        <v/>
      </c>
      <c r="C56" s="3"/>
      <c r="D56" s="4"/>
    </row>
    <row r="57" spans="1:4" ht="24" customHeight="1">
      <c r="A57" s="2"/>
      <c r="B57" s="3" t="str">
        <f t="shared" si="0"/>
        <v/>
      </c>
      <c r="C57" s="3"/>
      <c r="D57" s="4"/>
    </row>
    <row r="58" spans="1:4" ht="24" customHeight="1">
      <c r="A58" s="5"/>
      <c r="B58" s="6" t="str">
        <f t="shared" si="0"/>
        <v/>
      </c>
      <c r="C58" s="3"/>
      <c r="D58" s="4"/>
    </row>
    <row r="59" spans="1:4" ht="24" customHeight="1">
      <c r="A59" s="2"/>
      <c r="B59" s="3" t="str">
        <f t="shared" si="0"/>
        <v/>
      </c>
      <c r="C59" s="3"/>
      <c r="D59" s="4"/>
    </row>
    <row r="60" spans="1:4" ht="24" customHeight="1">
      <c r="A60" s="5"/>
      <c r="B60" s="6" t="str">
        <f t="shared" si="0"/>
        <v/>
      </c>
      <c r="C60" s="3"/>
      <c r="D60" s="4"/>
    </row>
    <row r="61" spans="1:4" ht="24" customHeight="1">
      <c r="A61" s="2"/>
      <c r="B61" s="3" t="str">
        <f t="shared" si="0"/>
        <v/>
      </c>
      <c r="C61" s="3"/>
      <c r="D61" s="4"/>
    </row>
    <row r="62" spans="1:4" ht="24" customHeight="1">
      <c r="A62" s="5"/>
      <c r="B62" s="6" t="str">
        <f t="shared" si="0"/>
        <v/>
      </c>
      <c r="C62" s="3"/>
      <c r="D62" s="4"/>
    </row>
    <row r="63" spans="1:4" ht="24" customHeight="1">
      <c r="A63" s="2"/>
      <c r="B63" s="3" t="str">
        <f t="shared" si="0"/>
        <v/>
      </c>
      <c r="C63" s="3"/>
      <c r="D63" s="4"/>
    </row>
    <row r="64" spans="1:4" ht="24" customHeight="1">
      <c r="A64" s="5"/>
      <c r="B64" s="6" t="str">
        <f t="shared" si="0"/>
        <v/>
      </c>
      <c r="C64" s="3"/>
      <c r="D64" s="4"/>
    </row>
    <row r="65" spans="1:4" ht="24" customHeight="1">
      <c r="A65" s="2"/>
      <c r="B65" s="3" t="str">
        <f t="shared" si="0"/>
        <v/>
      </c>
      <c r="C65" s="3"/>
      <c r="D65" s="4"/>
    </row>
    <row r="66" spans="1:4" ht="24" customHeight="1">
      <c r="A66" s="5"/>
      <c r="B66" s="6" t="str">
        <f t="shared" si="0"/>
        <v/>
      </c>
      <c r="C66" s="3"/>
      <c r="D66" s="4"/>
    </row>
    <row r="67" spans="1:4" ht="24" customHeight="1">
      <c r="A67" s="2"/>
      <c r="B67" s="3" t="str">
        <f t="shared" si="0"/>
        <v/>
      </c>
      <c r="C67" s="3"/>
      <c r="D67" s="4"/>
    </row>
    <row r="68" spans="1:4" ht="24" customHeight="1">
      <c r="A68" s="5"/>
      <c r="B68" s="6" t="str">
        <f t="shared" si="0"/>
        <v/>
      </c>
      <c r="C68" s="3"/>
      <c r="D68" s="4"/>
    </row>
    <row r="69" spans="1:4" ht="24" customHeight="1">
      <c r="A69" s="2"/>
      <c r="B69" s="3" t="str">
        <f t="shared" si="0"/>
        <v/>
      </c>
      <c r="C69" s="3"/>
      <c r="D69" s="4"/>
    </row>
    <row r="70" spans="1:4" ht="24" customHeight="1">
      <c r="A70" s="5"/>
      <c r="B70" s="6" t="str">
        <f t="shared" si="0"/>
        <v/>
      </c>
      <c r="C70" s="3"/>
      <c r="D70" s="4"/>
    </row>
    <row r="71" spans="1:4" ht="24" customHeight="1">
      <c r="A71" s="2"/>
      <c r="B71" s="3" t="str">
        <f t="shared" si="0"/>
        <v/>
      </c>
      <c r="C71" s="3"/>
      <c r="D71" s="4"/>
    </row>
    <row r="72" spans="1:4" ht="24" customHeight="1">
      <c r="A72" s="5"/>
      <c r="B72" s="6" t="str">
        <f t="shared" si="0"/>
        <v/>
      </c>
      <c r="C72" s="3"/>
      <c r="D72" s="4"/>
    </row>
    <row r="73" spans="1:4" ht="24" customHeight="1">
      <c r="A73" s="2"/>
      <c r="B73" s="3" t="str">
        <f t="shared" si="0"/>
        <v/>
      </c>
      <c r="C73" s="3"/>
      <c r="D73" s="4"/>
    </row>
    <row r="74" spans="1:4" ht="24" customHeight="1">
      <c r="A74" s="5"/>
      <c r="B74" s="6" t="str">
        <f t="shared" si="0"/>
        <v/>
      </c>
      <c r="C74" s="3"/>
      <c r="D74" s="4"/>
    </row>
    <row r="75" spans="1:4" ht="24" customHeight="1">
      <c r="A75" s="2"/>
      <c r="B75" s="3" t="str">
        <f t="shared" si="0"/>
        <v/>
      </c>
      <c r="C75" s="3"/>
      <c r="D75" s="4"/>
    </row>
    <row r="76" spans="1:4" ht="24" customHeight="1">
      <c r="A76" s="5"/>
      <c r="B76" s="6" t="str">
        <f t="shared" si="0"/>
        <v/>
      </c>
      <c r="C76" s="3"/>
      <c r="D76" s="4"/>
    </row>
    <row r="77" spans="1:4" ht="24" customHeight="1">
      <c r="A77" s="2"/>
      <c r="B77" s="3" t="str">
        <f t="shared" si="0"/>
        <v/>
      </c>
      <c r="C77" s="3"/>
      <c r="D77" s="4"/>
    </row>
    <row r="78" spans="1:4" ht="24" customHeight="1">
      <c r="A78" s="5"/>
      <c r="B78" s="6" t="str">
        <f t="shared" si="0"/>
        <v/>
      </c>
      <c r="C78" s="3"/>
      <c r="D78" s="4"/>
    </row>
    <row r="79" spans="1:4" ht="24" customHeight="1">
      <c r="A79" s="2"/>
      <c r="B79" s="3" t="str">
        <f t="shared" si="0"/>
        <v/>
      </c>
      <c r="C79" s="3"/>
      <c r="D79" s="4"/>
    </row>
    <row r="80" spans="1:4" ht="24" customHeight="1">
      <c r="A80" s="5"/>
      <c r="B80" s="6" t="str">
        <f t="shared" si="0"/>
        <v/>
      </c>
      <c r="C80" s="3"/>
      <c r="D80" s="4"/>
    </row>
    <row r="81" spans="1:4" ht="24" customHeight="1">
      <c r="A81" s="2"/>
      <c r="B81" s="3" t="str">
        <f t="shared" si="0"/>
        <v/>
      </c>
      <c r="C81" s="3"/>
      <c r="D81" s="4"/>
    </row>
    <row r="82" spans="1:4" ht="24" customHeight="1">
      <c r="A82" s="5"/>
      <c r="B82" s="6" t="str">
        <f t="shared" si="0"/>
        <v/>
      </c>
      <c r="C82" s="3"/>
      <c r="D82" s="4"/>
    </row>
    <row r="83" spans="1:4" ht="24" customHeight="1">
      <c r="A83" s="2"/>
      <c r="B83" s="3" t="str">
        <f t="shared" si="0"/>
        <v/>
      </c>
      <c r="C83" s="3"/>
      <c r="D83" s="4"/>
    </row>
    <row r="84" spans="1:4" ht="24" customHeight="1">
      <c r="A84" s="5"/>
      <c r="B84" s="6" t="str">
        <f t="shared" si="0"/>
        <v/>
      </c>
      <c r="C84" s="3"/>
      <c r="D84" s="4"/>
    </row>
    <row r="85" spans="1:4" ht="24" customHeight="1">
      <c r="A85" s="2"/>
      <c r="B85" s="3" t="str">
        <f t="shared" si="0"/>
        <v/>
      </c>
      <c r="C85" s="3"/>
      <c r="D85" s="4"/>
    </row>
    <row r="86" spans="1:4" ht="24" customHeight="1">
      <c r="A86" s="5"/>
      <c r="B86" s="6" t="str">
        <f t="shared" si="0"/>
        <v/>
      </c>
      <c r="C86" s="3"/>
      <c r="D86" s="4"/>
    </row>
    <row r="87" spans="1:4" ht="24" customHeight="1">
      <c r="A87" s="2"/>
      <c r="B87" s="3" t="str">
        <f t="shared" si="0"/>
        <v/>
      </c>
      <c r="C87" s="3"/>
      <c r="D87" s="4"/>
    </row>
    <row r="88" spans="1:4" ht="24" customHeight="1">
      <c r="A88" s="5"/>
      <c r="B88" s="6" t="str">
        <f t="shared" si="0"/>
        <v/>
      </c>
      <c r="C88" s="3"/>
      <c r="D88" s="4"/>
    </row>
    <row r="89" spans="1:4" ht="24" customHeight="1">
      <c r="A89" s="2"/>
      <c r="B89" s="3" t="str">
        <f t="shared" si="0"/>
        <v/>
      </c>
      <c r="C89" s="3"/>
      <c r="D89" s="4"/>
    </row>
    <row r="90" spans="1:4" ht="24" customHeight="1">
      <c r="A90" s="5"/>
      <c r="B90" s="6" t="str">
        <f t="shared" si="0"/>
        <v/>
      </c>
      <c r="C90" s="3"/>
      <c r="D90" s="4"/>
    </row>
    <row r="91" spans="1:4" ht="24" customHeight="1">
      <c r="A91" s="2"/>
      <c r="B91" s="3" t="str">
        <f t="shared" si="0"/>
        <v/>
      </c>
      <c r="C91" s="3"/>
      <c r="D91" s="4"/>
    </row>
    <row r="92" spans="1:4" ht="24" customHeight="1">
      <c r="A92" s="5"/>
      <c r="B92" s="6" t="str">
        <f t="shared" si="0"/>
        <v/>
      </c>
      <c r="C92" s="3"/>
      <c r="D92" s="4"/>
    </row>
    <row r="93" spans="1:4" ht="24" customHeight="1">
      <c r="A93" s="2"/>
      <c r="B93" s="3" t="str">
        <f t="shared" si="0"/>
        <v/>
      </c>
      <c r="C93" s="3"/>
      <c r="D93" s="4"/>
    </row>
    <row r="94" spans="1:4" ht="24" customHeight="1">
      <c r="A94" s="5"/>
      <c r="B94" s="6" t="str">
        <f t="shared" si="0"/>
        <v/>
      </c>
      <c r="C94" s="3"/>
      <c r="D94" s="4"/>
    </row>
    <row r="95" spans="1:4" ht="24" customHeight="1">
      <c r="A95" s="2"/>
      <c r="B95" s="3" t="str">
        <f t="shared" si="0"/>
        <v/>
      </c>
      <c r="C95" s="3"/>
      <c r="D95" s="4"/>
    </row>
    <row r="96" spans="1:4" ht="24" customHeight="1">
      <c r="A96" s="5"/>
      <c r="B96" s="6" t="str">
        <f t="shared" si="0"/>
        <v/>
      </c>
      <c r="C96" s="3"/>
      <c r="D96" s="4"/>
    </row>
    <row r="97" spans="1:4" ht="24" customHeight="1">
      <c r="A97" s="2"/>
      <c r="B97" s="3" t="str">
        <f t="shared" si="0"/>
        <v/>
      </c>
      <c r="C97" s="3"/>
      <c r="D97" s="4"/>
    </row>
    <row r="98" spans="1:4" ht="24" customHeight="1">
      <c r="A98" s="5"/>
      <c r="B98" s="6" t="str">
        <f t="shared" si="0"/>
        <v/>
      </c>
      <c r="C98" s="3"/>
      <c r="D98" s="4"/>
    </row>
    <row r="99" spans="1:4" ht="24" customHeight="1">
      <c r="A99" s="2"/>
      <c r="B99" s="3" t="str">
        <f t="shared" si="0"/>
        <v/>
      </c>
      <c r="C99" s="3"/>
      <c r="D99" s="4"/>
    </row>
    <row r="100" spans="1:4" ht="24" customHeight="1">
      <c r="A100" s="5"/>
      <c r="B100" s="6" t="str">
        <f t="shared" si="0"/>
        <v/>
      </c>
      <c r="C100" s="3"/>
      <c r="D100" s="4"/>
    </row>
    <row r="101" spans="1:4" ht="24" customHeight="1">
      <c r="A101" s="2"/>
      <c r="B101" s="3" t="str">
        <f t="shared" si="0"/>
        <v/>
      </c>
      <c r="C101" s="3"/>
      <c r="D101" s="4"/>
    </row>
    <row r="102" spans="1:4" ht="24" customHeight="1">
      <c r="A102" s="5"/>
      <c r="B102" s="6" t="str">
        <f t="shared" si="0"/>
        <v/>
      </c>
      <c r="C102" s="3"/>
      <c r="D102" s="4"/>
    </row>
    <row r="103" spans="1:4" ht="24" customHeight="1">
      <c r="A103" s="2"/>
      <c r="B103" s="3" t="str">
        <f t="shared" si="0"/>
        <v/>
      </c>
      <c r="C103" s="3"/>
      <c r="D103" s="4"/>
    </row>
    <row r="104" spans="1:4" ht="24" customHeight="1">
      <c r="A104" s="5"/>
      <c r="B104" s="6" t="str">
        <f t="shared" si="0"/>
        <v/>
      </c>
      <c r="C104" s="3"/>
      <c r="D104" s="4"/>
    </row>
    <row r="105" spans="1:4" ht="15.75" customHeight="1"/>
    <row r="106" spans="1:4" ht="15.75" customHeight="1"/>
    <row r="107" spans="1:4" ht="15.75" customHeight="1"/>
    <row r="108" spans="1:4" ht="15.75" customHeight="1"/>
    <row r="109" spans="1:4" ht="15.75" customHeight="1"/>
    <row r="110" spans="1:4" ht="15.75" customHeight="1"/>
    <row r="111" spans="1:4" ht="15.75" customHeight="1"/>
    <row r="112" spans="1:4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2:D2"/>
  </mergeCells>
  <conditionalFormatting sqref="C5:C104">
    <cfRule type="expression" dxfId="19" priority="1">
      <formula>C5="مكتمل"</formula>
    </cfRule>
    <cfRule type="expression" dxfId="18" priority="2">
      <formula>C5="قيد التنفيذ"</formula>
    </cfRule>
    <cfRule type="expression" dxfId="17" priority="3">
      <formula>C5="متأخر"</formula>
    </cfRule>
    <cfRule type="expression" dxfId="16" priority="4">
      <formula>C5="متوقف / قرار"</formula>
    </cfRule>
    <cfRule type="expression" dxfId="15" priority="5">
      <formula>C5="لم يبدأ"</formula>
    </cfRule>
  </conditionalFormatting>
  <dataValidations count="1">
    <dataValidation type="list" allowBlank="1" sqref="C5:C104" xr:uid="{00000000-0002-0000-0200-000000000000}">
      <formula1>"لم يبدأ,قيد التنفيذ,مكتمل,متأخر,متوقف / قرار"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000"/>
  <sheetViews>
    <sheetView rightToLeft="1" workbookViewId="0"/>
  </sheetViews>
  <sheetFormatPr defaultColWidth="12.625" defaultRowHeight="15" customHeight="1"/>
  <cols>
    <col min="1" max="1" width="46" customWidth="1"/>
    <col min="2" max="2" width="16" customWidth="1"/>
    <col min="3" max="3" width="19" customWidth="1"/>
    <col min="4" max="4" width="15" customWidth="1"/>
    <col min="5" max="26" width="8.625" customWidth="1"/>
  </cols>
  <sheetData>
    <row r="1" spans="1:4" ht="33.75" customHeight="1">
      <c r="A1" s="23" t="s">
        <v>0</v>
      </c>
      <c r="B1" s="17"/>
      <c r="C1" s="17"/>
      <c r="D1" s="17"/>
    </row>
    <row r="2" spans="1:4" ht="24" customHeight="1">
      <c r="A2" s="20" t="s">
        <v>1</v>
      </c>
      <c r="B2" s="17"/>
      <c r="C2" s="17"/>
      <c r="D2" s="17"/>
    </row>
    <row r="4" spans="1:4" ht="27.75" customHeight="1">
      <c r="A4" s="1" t="s">
        <v>2</v>
      </c>
      <c r="B4" s="1" t="s">
        <v>4</v>
      </c>
      <c r="C4" s="1" t="s">
        <v>5</v>
      </c>
      <c r="D4" s="1" t="s">
        <v>6</v>
      </c>
    </row>
    <row r="5" spans="1:4" ht="24" customHeight="1">
      <c r="A5" s="2"/>
      <c r="B5" s="3" t="str">
        <f t="shared" ref="B5:B104" si="0">IF(A5&lt;&gt;"","مقرن","")</f>
        <v/>
      </c>
      <c r="C5" s="3"/>
      <c r="D5" s="4"/>
    </row>
    <row r="6" spans="1:4" ht="24" customHeight="1">
      <c r="A6" s="5"/>
      <c r="B6" s="6" t="str">
        <f t="shared" si="0"/>
        <v/>
      </c>
      <c r="C6" s="3"/>
      <c r="D6" s="4"/>
    </row>
    <row r="7" spans="1:4" ht="24" customHeight="1">
      <c r="A7" s="2"/>
      <c r="B7" s="3" t="str">
        <f t="shared" si="0"/>
        <v/>
      </c>
      <c r="C7" s="3"/>
      <c r="D7" s="4"/>
    </row>
    <row r="8" spans="1:4" ht="24" customHeight="1">
      <c r="A8" s="5"/>
      <c r="B8" s="6" t="str">
        <f t="shared" si="0"/>
        <v/>
      </c>
      <c r="C8" s="3"/>
      <c r="D8" s="4"/>
    </row>
    <row r="9" spans="1:4" ht="24" customHeight="1">
      <c r="A9" s="2"/>
      <c r="B9" s="3" t="str">
        <f t="shared" si="0"/>
        <v/>
      </c>
      <c r="C9" s="3"/>
      <c r="D9" s="4"/>
    </row>
    <row r="10" spans="1:4" ht="24" customHeight="1">
      <c r="A10" s="5"/>
      <c r="B10" s="6" t="str">
        <f t="shared" si="0"/>
        <v/>
      </c>
      <c r="C10" s="3"/>
      <c r="D10" s="4"/>
    </row>
    <row r="11" spans="1:4" ht="24" customHeight="1">
      <c r="A11" s="2"/>
      <c r="B11" s="3" t="str">
        <f t="shared" si="0"/>
        <v/>
      </c>
      <c r="C11" s="3"/>
      <c r="D11" s="4"/>
    </row>
    <row r="12" spans="1:4" ht="24" customHeight="1">
      <c r="A12" s="5"/>
      <c r="B12" s="6" t="str">
        <f t="shared" si="0"/>
        <v/>
      </c>
      <c r="C12" s="3"/>
      <c r="D12" s="4"/>
    </row>
    <row r="13" spans="1:4" ht="24" customHeight="1">
      <c r="A13" s="2"/>
      <c r="B13" s="3" t="str">
        <f t="shared" si="0"/>
        <v/>
      </c>
      <c r="C13" s="3"/>
      <c r="D13" s="4"/>
    </row>
    <row r="14" spans="1:4" ht="24" customHeight="1">
      <c r="A14" s="5"/>
      <c r="B14" s="6" t="str">
        <f t="shared" si="0"/>
        <v/>
      </c>
      <c r="C14" s="3"/>
      <c r="D14" s="4"/>
    </row>
    <row r="15" spans="1:4" ht="24" customHeight="1">
      <c r="A15" s="2"/>
      <c r="B15" s="3" t="str">
        <f t="shared" si="0"/>
        <v/>
      </c>
      <c r="C15" s="3"/>
      <c r="D15" s="4"/>
    </row>
    <row r="16" spans="1:4" ht="24" customHeight="1">
      <c r="A16" s="5"/>
      <c r="B16" s="6" t="str">
        <f t="shared" si="0"/>
        <v/>
      </c>
      <c r="C16" s="3"/>
      <c r="D16" s="4"/>
    </row>
    <row r="17" spans="1:4" ht="24" customHeight="1">
      <c r="A17" s="2"/>
      <c r="B17" s="3" t="str">
        <f t="shared" si="0"/>
        <v/>
      </c>
      <c r="C17" s="3"/>
      <c r="D17" s="4"/>
    </row>
    <row r="18" spans="1:4" ht="24" customHeight="1">
      <c r="A18" s="5"/>
      <c r="B18" s="6" t="str">
        <f t="shared" si="0"/>
        <v/>
      </c>
      <c r="C18" s="3"/>
      <c r="D18" s="4"/>
    </row>
    <row r="19" spans="1:4" ht="24" customHeight="1">
      <c r="A19" s="2"/>
      <c r="B19" s="3" t="str">
        <f t="shared" si="0"/>
        <v/>
      </c>
      <c r="C19" s="3"/>
      <c r="D19" s="4"/>
    </row>
    <row r="20" spans="1:4" ht="24" customHeight="1">
      <c r="A20" s="5"/>
      <c r="B20" s="6" t="str">
        <f t="shared" si="0"/>
        <v/>
      </c>
      <c r="C20" s="3"/>
      <c r="D20" s="4"/>
    </row>
    <row r="21" spans="1:4" ht="24" customHeight="1">
      <c r="A21" s="2"/>
      <c r="B21" s="3" t="str">
        <f t="shared" si="0"/>
        <v/>
      </c>
      <c r="C21" s="3"/>
      <c r="D21" s="4"/>
    </row>
    <row r="22" spans="1:4" ht="24" customHeight="1">
      <c r="A22" s="5"/>
      <c r="B22" s="6" t="str">
        <f t="shared" si="0"/>
        <v/>
      </c>
      <c r="C22" s="3"/>
      <c r="D22" s="4"/>
    </row>
    <row r="23" spans="1:4" ht="24" customHeight="1">
      <c r="A23" s="2"/>
      <c r="B23" s="3" t="str">
        <f t="shared" si="0"/>
        <v/>
      </c>
      <c r="C23" s="3"/>
      <c r="D23" s="4"/>
    </row>
    <row r="24" spans="1:4" ht="24" customHeight="1">
      <c r="A24" s="5"/>
      <c r="B24" s="6" t="str">
        <f t="shared" si="0"/>
        <v/>
      </c>
      <c r="C24" s="3"/>
      <c r="D24" s="4"/>
    </row>
    <row r="25" spans="1:4" ht="24" customHeight="1">
      <c r="A25" s="2"/>
      <c r="B25" s="3" t="str">
        <f t="shared" si="0"/>
        <v/>
      </c>
      <c r="C25" s="3"/>
      <c r="D25" s="4"/>
    </row>
    <row r="26" spans="1:4" ht="24" customHeight="1">
      <c r="A26" s="5"/>
      <c r="B26" s="6" t="str">
        <f t="shared" si="0"/>
        <v/>
      </c>
      <c r="C26" s="3"/>
      <c r="D26" s="4"/>
    </row>
    <row r="27" spans="1:4" ht="24" customHeight="1">
      <c r="A27" s="2"/>
      <c r="B27" s="3" t="str">
        <f t="shared" si="0"/>
        <v/>
      </c>
      <c r="C27" s="3"/>
      <c r="D27" s="4"/>
    </row>
    <row r="28" spans="1:4" ht="24" customHeight="1">
      <c r="A28" s="5"/>
      <c r="B28" s="6" t="str">
        <f t="shared" si="0"/>
        <v/>
      </c>
      <c r="C28" s="3"/>
      <c r="D28" s="4"/>
    </row>
    <row r="29" spans="1:4" ht="24" customHeight="1">
      <c r="A29" s="2"/>
      <c r="B29" s="3" t="str">
        <f t="shared" si="0"/>
        <v/>
      </c>
      <c r="C29" s="3"/>
      <c r="D29" s="4"/>
    </row>
    <row r="30" spans="1:4" ht="24" customHeight="1">
      <c r="A30" s="5"/>
      <c r="B30" s="6" t="str">
        <f t="shared" si="0"/>
        <v/>
      </c>
      <c r="C30" s="3"/>
      <c r="D30" s="4"/>
    </row>
    <row r="31" spans="1:4" ht="24" customHeight="1">
      <c r="A31" s="2"/>
      <c r="B31" s="3" t="str">
        <f t="shared" si="0"/>
        <v/>
      </c>
      <c r="C31" s="3"/>
      <c r="D31" s="4"/>
    </row>
    <row r="32" spans="1:4" ht="24" customHeight="1">
      <c r="A32" s="5"/>
      <c r="B32" s="6" t="str">
        <f t="shared" si="0"/>
        <v/>
      </c>
      <c r="C32" s="3"/>
      <c r="D32" s="4"/>
    </row>
    <row r="33" spans="1:4" ht="24" customHeight="1">
      <c r="A33" s="2"/>
      <c r="B33" s="3" t="str">
        <f t="shared" si="0"/>
        <v/>
      </c>
      <c r="C33" s="3"/>
      <c r="D33" s="4"/>
    </row>
    <row r="34" spans="1:4" ht="24" customHeight="1">
      <c r="A34" s="5"/>
      <c r="B34" s="6" t="str">
        <f t="shared" si="0"/>
        <v/>
      </c>
      <c r="C34" s="3"/>
      <c r="D34" s="4"/>
    </row>
    <row r="35" spans="1:4" ht="24" customHeight="1">
      <c r="A35" s="2"/>
      <c r="B35" s="3" t="str">
        <f t="shared" si="0"/>
        <v/>
      </c>
      <c r="C35" s="3"/>
      <c r="D35" s="4"/>
    </row>
    <row r="36" spans="1:4" ht="24" customHeight="1">
      <c r="A36" s="5"/>
      <c r="B36" s="6" t="str">
        <f t="shared" si="0"/>
        <v/>
      </c>
      <c r="C36" s="3"/>
      <c r="D36" s="4"/>
    </row>
    <row r="37" spans="1:4" ht="24" customHeight="1">
      <c r="A37" s="2"/>
      <c r="B37" s="3" t="str">
        <f t="shared" si="0"/>
        <v/>
      </c>
      <c r="C37" s="3"/>
      <c r="D37" s="4"/>
    </row>
    <row r="38" spans="1:4" ht="24" customHeight="1">
      <c r="A38" s="5"/>
      <c r="B38" s="6" t="str">
        <f t="shared" si="0"/>
        <v/>
      </c>
      <c r="C38" s="3"/>
      <c r="D38" s="4"/>
    </row>
    <row r="39" spans="1:4" ht="24" customHeight="1">
      <c r="A39" s="2"/>
      <c r="B39" s="3" t="str">
        <f t="shared" si="0"/>
        <v/>
      </c>
      <c r="C39" s="3"/>
      <c r="D39" s="4"/>
    </row>
    <row r="40" spans="1:4" ht="24" customHeight="1">
      <c r="A40" s="5"/>
      <c r="B40" s="6" t="str">
        <f t="shared" si="0"/>
        <v/>
      </c>
      <c r="C40" s="3"/>
      <c r="D40" s="4"/>
    </row>
    <row r="41" spans="1:4" ht="24" customHeight="1">
      <c r="A41" s="2"/>
      <c r="B41" s="3" t="str">
        <f t="shared" si="0"/>
        <v/>
      </c>
      <c r="C41" s="3"/>
      <c r="D41" s="4"/>
    </row>
    <row r="42" spans="1:4" ht="24" customHeight="1">
      <c r="A42" s="5"/>
      <c r="B42" s="6" t="str">
        <f t="shared" si="0"/>
        <v/>
      </c>
      <c r="C42" s="3"/>
      <c r="D42" s="4"/>
    </row>
    <row r="43" spans="1:4" ht="24" customHeight="1">
      <c r="A43" s="2"/>
      <c r="B43" s="3" t="str">
        <f t="shared" si="0"/>
        <v/>
      </c>
      <c r="C43" s="3"/>
      <c r="D43" s="4"/>
    </row>
    <row r="44" spans="1:4" ht="24" customHeight="1">
      <c r="A44" s="5"/>
      <c r="B44" s="6" t="str">
        <f t="shared" si="0"/>
        <v/>
      </c>
      <c r="C44" s="3"/>
      <c r="D44" s="4"/>
    </row>
    <row r="45" spans="1:4" ht="24" customHeight="1">
      <c r="A45" s="2"/>
      <c r="B45" s="3" t="str">
        <f t="shared" si="0"/>
        <v/>
      </c>
      <c r="C45" s="3"/>
      <c r="D45" s="4"/>
    </row>
    <row r="46" spans="1:4" ht="24" customHeight="1">
      <c r="A46" s="5"/>
      <c r="B46" s="6" t="str">
        <f t="shared" si="0"/>
        <v/>
      </c>
      <c r="C46" s="3"/>
      <c r="D46" s="4"/>
    </row>
    <row r="47" spans="1:4" ht="24" customHeight="1">
      <c r="A47" s="2"/>
      <c r="B47" s="3" t="str">
        <f t="shared" si="0"/>
        <v/>
      </c>
      <c r="C47" s="3"/>
      <c r="D47" s="4"/>
    </row>
    <row r="48" spans="1:4" ht="24" customHeight="1">
      <c r="A48" s="5"/>
      <c r="B48" s="6" t="str">
        <f t="shared" si="0"/>
        <v/>
      </c>
      <c r="C48" s="3"/>
      <c r="D48" s="4"/>
    </row>
    <row r="49" spans="1:4" ht="24" customHeight="1">
      <c r="A49" s="2"/>
      <c r="B49" s="3" t="str">
        <f t="shared" si="0"/>
        <v/>
      </c>
      <c r="C49" s="3"/>
      <c r="D49" s="4"/>
    </row>
    <row r="50" spans="1:4" ht="24" customHeight="1">
      <c r="A50" s="5"/>
      <c r="B50" s="6" t="str">
        <f t="shared" si="0"/>
        <v/>
      </c>
      <c r="C50" s="3"/>
      <c r="D50" s="4"/>
    </row>
    <row r="51" spans="1:4" ht="24" customHeight="1">
      <c r="A51" s="2"/>
      <c r="B51" s="3" t="str">
        <f t="shared" si="0"/>
        <v/>
      </c>
      <c r="C51" s="3"/>
      <c r="D51" s="4"/>
    </row>
    <row r="52" spans="1:4" ht="24" customHeight="1">
      <c r="A52" s="5"/>
      <c r="B52" s="6" t="str">
        <f t="shared" si="0"/>
        <v/>
      </c>
      <c r="C52" s="3"/>
      <c r="D52" s="4"/>
    </row>
    <row r="53" spans="1:4" ht="24" customHeight="1">
      <c r="A53" s="2"/>
      <c r="B53" s="3" t="str">
        <f t="shared" si="0"/>
        <v/>
      </c>
      <c r="C53" s="3"/>
      <c r="D53" s="4"/>
    </row>
    <row r="54" spans="1:4" ht="24" customHeight="1">
      <c r="A54" s="5"/>
      <c r="B54" s="6" t="str">
        <f t="shared" si="0"/>
        <v/>
      </c>
      <c r="C54" s="3"/>
      <c r="D54" s="4"/>
    </row>
    <row r="55" spans="1:4" ht="24" customHeight="1">
      <c r="A55" s="2"/>
      <c r="B55" s="3" t="str">
        <f t="shared" si="0"/>
        <v/>
      </c>
      <c r="C55" s="3"/>
      <c r="D55" s="4"/>
    </row>
    <row r="56" spans="1:4" ht="24" customHeight="1">
      <c r="A56" s="5"/>
      <c r="B56" s="6" t="str">
        <f t="shared" si="0"/>
        <v/>
      </c>
      <c r="C56" s="3"/>
      <c r="D56" s="4"/>
    </row>
    <row r="57" spans="1:4" ht="24" customHeight="1">
      <c r="A57" s="2"/>
      <c r="B57" s="3" t="str">
        <f t="shared" si="0"/>
        <v/>
      </c>
      <c r="C57" s="3"/>
      <c r="D57" s="4"/>
    </row>
    <row r="58" spans="1:4" ht="24" customHeight="1">
      <c r="A58" s="5"/>
      <c r="B58" s="6" t="str">
        <f t="shared" si="0"/>
        <v/>
      </c>
      <c r="C58" s="3"/>
      <c r="D58" s="4"/>
    </row>
    <row r="59" spans="1:4" ht="24" customHeight="1">
      <c r="A59" s="2"/>
      <c r="B59" s="3" t="str">
        <f t="shared" si="0"/>
        <v/>
      </c>
      <c r="C59" s="3"/>
      <c r="D59" s="4"/>
    </row>
    <row r="60" spans="1:4" ht="24" customHeight="1">
      <c r="A60" s="5"/>
      <c r="B60" s="6" t="str">
        <f t="shared" si="0"/>
        <v/>
      </c>
      <c r="C60" s="3"/>
      <c r="D60" s="4"/>
    </row>
    <row r="61" spans="1:4" ht="24" customHeight="1">
      <c r="A61" s="2"/>
      <c r="B61" s="3" t="str">
        <f t="shared" si="0"/>
        <v/>
      </c>
      <c r="C61" s="3"/>
      <c r="D61" s="4"/>
    </row>
    <row r="62" spans="1:4" ht="24" customHeight="1">
      <c r="A62" s="5"/>
      <c r="B62" s="6" t="str">
        <f t="shared" si="0"/>
        <v/>
      </c>
      <c r="C62" s="3"/>
      <c r="D62" s="4"/>
    </row>
    <row r="63" spans="1:4" ht="24" customHeight="1">
      <c r="A63" s="2"/>
      <c r="B63" s="3" t="str">
        <f t="shared" si="0"/>
        <v/>
      </c>
      <c r="C63" s="3"/>
      <c r="D63" s="4"/>
    </row>
    <row r="64" spans="1:4" ht="24" customHeight="1">
      <c r="A64" s="5"/>
      <c r="B64" s="6" t="str">
        <f t="shared" si="0"/>
        <v/>
      </c>
      <c r="C64" s="3"/>
      <c r="D64" s="4"/>
    </row>
    <row r="65" spans="1:4" ht="24" customHeight="1">
      <c r="A65" s="2"/>
      <c r="B65" s="3" t="str">
        <f t="shared" si="0"/>
        <v/>
      </c>
      <c r="C65" s="3"/>
      <c r="D65" s="4"/>
    </row>
    <row r="66" spans="1:4" ht="24" customHeight="1">
      <c r="A66" s="5"/>
      <c r="B66" s="6" t="str">
        <f t="shared" si="0"/>
        <v/>
      </c>
      <c r="C66" s="3"/>
      <c r="D66" s="4"/>
    </row>
    <row r="67" spans="1:4" ht="24" customHeight="1">
      <c r="A67" s="2"/>
      <c r="B67" s="3" t="str">
        <f t="shared" si="0"/>
        <v/>
      </c>
      <c r="C67" s="3"/>
      <c r="D67" s="4"/>
    </row>
    <row r="68" spans="1:4" ht="24" customHeight="1">
      <c r="A68" s="5"/>
      <c r="B68" s="6" t="str">
        <f t="shared" si="0"/>
        <v/>
      </c>
      <c r="C68" s="3"/>
      <c r="D68" s="4"/>
    </row>
    <row r="69" spans="1:4" ht="24" customHeight="1">
      <c r="A69" s="2"/>
      <c r="B69" s="3" t="str">
        <f t="shared" si="0"/>
        <v/>
      </c>
      <c r="C69" s="3"/>
      <c r="D69" s="4"/>
    </row>
    <row r="70" spans="1:4" ht="24" customHeight="1">
      <c r="A70" s="5"/>
      <c r="B70" s="6" t="str">
        <f t="shared" si="0"/>
        <v/>
      </c>
      <c r="C70" s="3"/>
      <c r="D70" s="4"/>
    </row>
    <row r="71" spans="1:4" ht="24" customHeight="1">
      <c r="A71" s="2"/>
      <c r="B71" s="3" t="str">
        <f t="shared" si="0"/>
        <v/>
      </c>
      <c r="C71" s="3"/>
      <c r="D71" s="4"/>
    </row>
    <row r="72" spans="1:4" ht="24" customHeight="1">
      <c r="A72" s="5"/>
      <c r="B72" s="6" t="str">
        <f t="shared" si="0"/>
        <v/>
      </c>
      <c r="C72" s="3"/>
      <c r="D72" s="4"/>
    </row>
    <row r="73" spans="1:4" ht="24" customHeight="1">
      <c r="A73" s="2"/>
      <c r="B73" s="3" t="str">
        <f t="shared" si="0"/>
        <v/>
      </c>
      <c r="C73" s="3"/>
      <c r="D73" s="4"/>
    </row>
    <row r="74" spans="1:4" ht="24" customHeight="1">
      <c r="A74" s="5"/>
      <c r="B74" s="6" t="str">
        <f t="shared" si="0"/>
        <v/>
      </c>
      <c r="C74" s="3"/>
      <c r="D74" s="4"/>
    </row>
    <row r="75" spans="1:4" ht="24" customHeight="1">
      <c r="A75" s="2"/>
      <c r="B75" s="3" t="str">
        <f t="shared" si="0"/>
        <v/>
      </c>
      <c r="C75" s="3"/>
      <c r="D75" s="4"/>
    </row>
    <row r="76" spans="1:4" ht="24" customHeight="1">
      <c r="A76" s="5"/>
      <c r="B76" s="6" t="str">
        <f t="shared" si="0"/>
        <v/>
      </c>
      <c r="C76" s="3"/>
      <c r="D76" s="4"/>
    </row>
    <row r="77" spans="1:4" ht="24" customHeight="1">
      <c r="A77" s="2"/>
      <c r="B77" s="3" t="str">
        <f t="shared" si="0"/>
        <v/>
      </c>
      <c r="C77" s="3"/>
      <c r="D77" s="4"/>
    </row>
    <row r="78" spans="1:4" ht="24" customHeight="1">
      <c r="A78" s="5"/>
      <c r="B78" s="6" t="str">
        <f t="shared" si="0"/>
        <v/>
      </c>
      <c r="C78" s="3"/>
      <c r="D78" s="4"/>
    </row>
    <row r="79" spans="1:4" ht="24" customHeight="1">
      <c r="A79" s="2"/>
      <c r="B79" s="3" t="str">
        <f t="shared" si="0"/>
        <v/>
      </c>
      <c r="C79" s="3"/>
      <c r="D79" s="4"/>
    </row>
    <row r="80" spans="1:4" ht="24" customHeight="1">
      <c r="A80" s="5"/>
      <c r="B80" s="6" t="str">
        <f t="shared" si="0"/>
        <v/>
      </c>
      <c r="C80" s="3"/>
      <c r="D80" s="4"/>
    </row>
    <row r="81" spans="1:4" ht="24" customHeight="1">
      <c r="A81" s="2"/>
      <c r="B81" s="3" t="str">
        <f t="shared" si="0"/>
        <v/>
      </c>
      <c r="C81" s="3"/>
      <c r="D81" s="4"/>
    </row>
    <row r="82" spans="1:4" ht="24" customHeight="1">
      <c r="A82" s="5"/>
      <c r="B82" s="6" t="str">
        <f t="shared" si="0"/>
        <v/>
      </c>
      <c r="C82" s="3"/>
      <c r="D82" s="4"/>
    </row>
    <row r="83" spans="1:4" ht="24" customHeight="1">
      <c r="A83" s="2"/>
      <c r="B83" s="3" t="str">
        <f t="shared" si="0"/>
        <v/>
      </c>
      <c r="C83" s="3"/>
      <c r="D83" s="4"/>
    </row>
    <row r="84" spans="1:4" ht="24" customHeight="1">
      <c r="A84" s="5"/>
      <c r="B84" s="6" t="str">
        <f t="shared" si="0"/>
        <v/>
      </c>
      <c r="C84" s="3"/>
      <c r="D84" s="4"/>
    </row>
    <row r="85" spans="1:4" ht="24" customHeight="1">
      <c r="A85" s="2"/>
      <c r="B85" s="3" t="str">
        <f t="shared" si="0"/>
        <v/>
      </c>
      <c r="C85" s="3"/>
      <c r="D85" s="4"/>
    </row>
    <row r="86" spans="1:4" ht="24" customHeight="1">
      <c r="A86" s="5"/>
      <c r="B86" s="6" t="str">
        <f t="shared" si="0"/>
        <v/>
      </c>
      <c r="C86" s="3"/>
      <c r="D86" s="4"/>
    </row>
    <row r="87" spans="1:4" ht="24" customHeight="1">
      <c r="A87" s="2"/>
      <c r="B87" s="3" t="str">
        <f t="shared" si="0"/>
        <v/>
      </c>
      <c r="C87" s="3"/>
      <c r="D87" s="4"/>
    </row>
    <row r="88" spans="1:4" ht="24" customHeight="1">
      <c r="A88" s="5"/>
      <c r="B88" s="6" t="str">
        <f t="shared" si="0"/>
        <v/>
      </c>
      <c r="C88" s="3"/>
      <c r="D88" s="4"/>
    </row>
    <row r="89" spans="1:4" ht="24" customHeight="1">
      <c r="A89" s="2"/>
      <c r="B89" s="3" t="str">
        <f t="shared" si="0"/>
        <v/>
      </c>
      <c r="C89" s="3"/>
      <c r="D89" s="4"/>
    </row>
    <row r="90" spans="1:4" ht="24" customHeight="1">
      <c r="A90" s="5"/>
      <c r="B90" s="6" t="str">
        <f t="shared" si="0"/>
        <v/>
      </c>
      <c r="C90" s="3"/>
      <c r="D90" s="4"/>
    </row>
    <row r="91" spans="1:4" ht="24" customHeight="1">
      <c r="A91" s="2"/>
      <c r="B91" s="3" t="str">
        <f t="shared" si="0"/>
        <v/>
      </c>
      <c r="C91" s="3"/>
      <c r="D91" s="4"/>
    </row>
    <row r="92" spans="1:4" ht="24" customHeight="1">
      <c r="A92" s="5"/>
      <c r="B92" s="6" t="str">
        <f t="shared" si="0"/>
        <v/>
      </c>
      <c r="C92" s="3"/>
      <c r="D92" s="4"/>
    </row>
    <row r="93" spans="1:4" ht="24" customHeight="1">
      <c r="A93" s="2"/>
      <c r="B93" s="3" t="str">
        <f t="shared" si="0"/>
        <v/>
      </c>
      <c r="C93" s="3"/>
      <c r="D93" s="4"/>
    </row>
    <row r="94" spans="1:4" ht="24" customHeight="1">
      <c r="A94" s="5"/>
      <c r="B94" s="6" t="str">
        <f t="shared" si="0"/>
        <v/>
      </c>
      <c r="C94" s="3"/>
      <c r="D94" s="4"/>
    </row>
    <row r="95" spans="1:4" ht="24" customHeight="1">
      <c r="A95" s="2"/>
      <c r="B95" s="3" t="str">
        <f t="shared" si="0"/>
        <v/>
      </c>
      <c r="C95" s="3"/>
      <c r="D95" s="4"/>
    </row>
    <row r="96" spans="1:4" ht="24" customHeight="1">
      <c r="A96" s="5"/>
      <c r="B96" s="6" t="str">
        <f t="shared" si="0"/>
        <v/>
      </c>
      <c r="C96" s="3"/>
      <c r="D96" s="4"/>
    </row>
    <row r="97" spans="1:4" ht="24" customHeight="1">
      <c r="A97" s="2"/>
      <c r="B97" s="3" t="str">
        <f t="shared" si="0"/>
        <v/>
      </c>
      <c r="C97" s="3"/>
      <c r="D97" s="4"/>
    </row>
    <row r="98" spans="1:4" ht="24" customHeight="1">
      <c r="A98" s="5"/>
      <c r="B98" s="6" t="str">
        <f t="shared" si="0"/>
        <v/>
      </c>
      <c r="C98" s="3"/>
      <c r="D98" s="4"/>
    </row>
    <row r="99" spans="1:4" ht="24" customHeight="1">
      <c r="A99" s="2"/>
      <c r="B99" s="3" t="str">
        <f t="shared" si="0"/>
        <v/>
      </c>
      <c r="C99" s="3"/>
      <c r="D99" s="4"/>
    </row>
    <row r="100" spans="1:4" ht="24" customHeight="1">
      <c r="A100" s="5"/>
      <c r="B100" s="6" t="str">
        <f t="shared" si="0"/>
        <v/>
      </c>
      <c r="C100" s="3"/>
      <c r="D100" s="4"/>
    </row>
    <row r="101" spans="1:4" ht="24" customHeight="1">
      <c r="A101" s="2"/>
      <c r="B101" s="3" t="str">
        <f t="shared" si="0"/>
        <v/>
      </c>
      <c r="C101" s="3"/>
      <c r="D101" s="4"/>
    </row>
    <row r="102" spans="1:4" ht="24" customHeight="1">
      <c r="A102" s="5"/>
      <c r="B102" s="6" t="str">
        <f t="shared" si="0"/>
        <v/>
      </c>
      <c r="C102" s="3"/>
      <c r="D102" s="4"/>
    </row>
    <row r="103" spans="1:4" ht="24" customHeight="1">
      <c r="A103" s="2"/>
      <c r="B103" s="3" t="str">
        <f t="shared" si="0"/>
        <v/>
      </c>
      <c r="C103" s="3"/>
      <c r="D103" s="4"/>
    </row>
    <row r="104" spans="1:4" ht="24" customHeight="1">
      <c r="A104" s="5"/>
      <c r="B104" s="6" t="str">
        <f t="shared" si="0"/>
        <v/>
      </c>
      <c r="C104" s="3"/>
      <c r="D104" s="4"/>
    </row>
    <row r="105" spans="1:4" ht="15.75" customHeight="1"/>
    <row r="106" spans="1:4" ht="15.75" customHeight="1"/>
    <row r="107" spans="1:4" ht="15.75" customHeight="1"/>
    <row r="108" spans="1:4" ht="15.75" customHeight="1"/>
    <row r="109" spans="1:4" ht="15.75" customHeight="1"/>
    <row r="110" spans="1:4" ht="15.75" customHeight="1"/>
    <row r="111" spans="1:4" ht="15.75" customHeight="1"/>
    <row r="112" spans="1:4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2:D2"/>
  </mergeCells>
  <conditionalFormatting sqref="C5:C104">
    <cfRule type="expression" dxfId="14" priority="1">
      <formula>C5="مكتمل"</formula>
    </cfRule>
    <cfRule type="expression" dxfId="13" priority="2">
      <formula>C5="قيد التنفيذ"</formula>
    </cfRule>
    <cfRule type="expression" dxfId="12" priority="3">
      <formula>C5="متأخر"</formula>
    </cfRule>
    <cfRule type="expression" dxfId="11" priority="4">
      <formula>C5="متوقف / قرار"</formula>
    </cfRule>
    <cfRule type="expression" dxfId="10" priority="5">
      <formula>C5="لم يبدأ"</formula>
    </cfRule>
  </conditionalFormatting>
  <dataValidations count="1">
    <dataValidation type="list" allowBlank="1" sqref="C5:C104" xr:uid="{00000000-0002-0000-0300-000000000000}">
      <formula1>"لم يبدأ,قيد التنفيذ,مكتمل,متأخر,متوقف / قرار"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00"/>
  <sheetViews>
    <sheetView rightToLeft="1" workbookViewId="0"/>
  </sheetViews>
  <sheetFormatPr defaultColWidth="12.625" defaultRowHeight="15" customHeight="1"/>
  <cols>
    <col min="1" max="1" width="46" customWidth="1"/>
    <col min="2" max="2" width="16" customWidth="1"/>
    <col min="3" max="3" width="19" customWidth="1"/>
    <col min="4" max="4" width="15" customWidth="1"/>
    <col min="5" max="26" width="8.625" customWidth="1"/>
  </cols>
  <sheetData>
    <row r="1" spans="1:4" ht="33.75" customHeight="1">
      <c r="A1" s="23" t="s">
        <v>0</v>
      </c>
      <c r="B1" s="17"/>
      <c r="C1" s="17"/>
      <c r="D1" s="17"/>
    </row>
    <row r="2" spans="1:4" ht="24" customHeight="1">
      <c r="A2" s="20" t="s">
        <v>25</v>
      </c>
      <c r="B2" s="17"/>
      <c r="C2" s="17"/>
      <c r="D2" s="17"/>
    </row>
    <row r="4" spans="1:4" ht="27.75" customHeight="1">
      <c r="A4" s="1" t="s">
        <v>2</v>
      </c>
      <c r="B4" s="1" t="s">
        <v>4</v>
      </c>
      <c r="C4" s="1" t="s">
        <v>5</v>
      </c>
      <c r="D4" s="1" t="s">
        <v>6</v>
      </c>
    </row>
    <row r="5" spans="1:4" ht="24" customHeight="1">
      <c r="A5" s="2" t="s">
        <v>27</v>
      </c>
      <c r="B5" s="3" t="s">
        <v>21</v>
      </c>
      <c r="C5" s="3" t="s">
        <v>16</v>
      </c>
      <c r="D5" s="4">
        <v>0</v>
      </c>
    </row>
    <row r="6" spans="1:4" ht="24" customHeight="1">
      <c r="A6" s="5" t="s">
        <v>28</v>
      </c>
      <c r="B6" s="6" t="s">
        <v>21</v>
      </c>
      <c r="C6" s="3" t="s">
        <v>16</v>
      </c>
      <c r="D6" s="4">
        <v>0</v>
      </c>
    </row>
    <row r="7" spans="1:4" ht="24" customHeight="1">
      <c r="A7" s="2" t="s">
        <v>30</v>
      </c>
      <c r="B7" s="3" t="s">
        <v>21</v>
      </c>
      <c r="C7" s="3" t="s">
        <v>16</v>
      </c>
      <c r="D7" s="4">
        <v>0</v>
      </c>
    </row>
    <row r="8" spans="1:4" ht="24" customHeight="1">
      <c r="A8" s="5" t="s">
        <v>33</v>
      </c>
      <c r="B8" s="6" t="s">
        <v>21</v>
      </c>
      <c r="C8" s="3" t="s">
        <v>16</v>
      </c>
      <c r="D8" s="4">
        <v>0</v>
      </c>
    </row>
    <row r="9" spans="1:4" ht="24" customHeight="1">
      <c r="A9" s="2" t="s">
        <v>34</v>
      </c>
      <c r="B9" s="3" t="s">
        <v>21</v>
      </c>
      <c r="C9" s="3" t="s">
        <v>16</v>
      </c>
      <c r="D9" s="4">
        <v>0</v>
      </c>
    </row>
    <row r="10" spans="1:4" ht="24" customHeight="1">
      <c r="A10" s="5" t="s">
        <v>35</v>
      </c>
      <c r="B10" s="6" t="s">
        <v>21</v>
      </c>
      <c r="C10" s="3" t="s">
        <v>16</v>
      </c>
      <c r="D10" s="4">
        <v>0</v>
      </c>
    </row>
    <row r="11" spans="1:4" ht="24" customHeight="1">
      <c r="A11" s="2" t="s">
        <v>41</v>
      </c>
      <c r="B11" s="3" t="s">
        <v>21</v>
      </c>
      <c r="C11" s="3" t="s">
        <v>16</v>
      </c>
      <c r="D11" s="4">
        <v>0</v>
      </c>
    </row>
    <row r="12" spans="1:4" ht="24" customHeight="1">
      <c r="A12" s="5" t="s">
        <v>36</v>
      </c>
      <c r="B12" s="6" t="s">
        <v>21</v>
      </c>
      <c r="C12" s="3" t="s">
        <v>16</v>
      </c>
      <c r="D12" s="4">
        <v>0</v>
      </c>
    </row>
    <row r="13" spans="1:4" ht="24" customHeight="1">
      <c r="A13" s="2" t="s">
        <v>38</v>
      </c>
      <c r="B13" s="3" t="s">
        <v>21</v>
      </c>
      <c r="C13" s="3" t="s">
        <v>16</v>
      </c>
      <c r="D13" s="4">
        <v>0</v>
      </c>
    </row>
    <row r="14" spans="1:4" ht="24" customHeight="1">
      <c r="A14" s="5" t="s">
        <v>42</v>
      </c>
      <c r="B14" s="6" t="s">
        <v>21</v>
      </c>
      <c r="C14" s="3" t="s">
        <v>16</v>
      </c>
      <c r="D14" s="4">
        <v>0</v>
      </c>
    </row>
    <row r="15" spans="1:4" ht="24" customHeight="1">
      <c r="A15" s="2"/>
      <c r="B15" s="3" t="str">
        <f t="shared" ref="B5:B104" si="0">IF(A15&lt;&gt;"","محمد","")</f>
        <v/>
      </c>
      <c r="C15" s="3"/>
      <c r="D15" s="4"/>
    </row>
    <row r="16" spans="1:4" ht="24" customHeight="1">
      <c r="A16" s="5"/>
      <c r="B16" s="6" t="str">
        <f t="shared" si="0"/>
        <v/>
      </c>
      <c r="C16" s="3"/>
      <c r="D16" s="4"/>
    </row>
    <row r="17" spans="1:4" ht="24" customHeight="1">
      <c r="A17" s="2"/>
      <c r="B17" s="3" t="str">
        <f t="shared" si="0"/>
        <v/>
      </c>
      <c r="C17" s="3"/>
      <c r="D17" s="4"/>
    </row>
    <row r="18" spans="1:4" ht="24" customHeight="1">
      <c r="A18" s="5"/>
      <c r="B18" s="6" t="str">
        <f t="shared" si="0"/>
        <v/>
      </c>
      <c r="C18" s="3"/>
      <c r="D18" s="4"/>
    </row>
    <row r="19" spans="1:4" ht="24" customHeight="1">
      <c r="A19" s="2"/>
      <c r="B19" s="3" t="str">
        <f t="shared" si="0"/>
        <v/>
      </c>
      <c r="C19" s="3"/>
      <c r="D19" s="4"/>
    </row>
    <row r="20" spans="1:4" ht="24" customHeight="1">
      <c r="A20" s="5"/>
      <c r="B20" s="6" t="str">
        <f t="shared" si="0"/>
        <v/>
      </c>
      <c r="C20" s="3"/>
      <c r="D20" s="4"/>
    </row>
    <row r="21" spans="1:4" ht="24" customHeight="1">
      <c r="A21" s="2"/>
      <c r="B21" s="3" t="str">
        <f t="shared" si="0"/>
        <v/>
      </c>
      <c r="C21" s="3"/>
      <c r="D21" s="4"/>
    </row>
    <row r="22" spans="1:4" ht="24" customHeight="1">
      <c r="A22" s="5"/>
      <c r="B22" s="6" t="str">
        <f t="shared" si="0"/>
        <v/>
      </c>
      <c r="C22" s="3"/>
      <c r="D22" s="4"/>
    </row>
    <row r="23" spans="1:4" ht="24" customHeight="1">
      <c r="A23" s="2"/>
      <c r="B23" s="3" t="str">
        <f t="shared" si="0"/>
        <v/>
      </c>
      <c r="C23" s="3"/>
      <c r="D23" s="4"/>
    </row>
    <row r="24" spans="1:4" ht="24" customHeight="1">
      <c r="A24" s="5"/>
      <c r="B24" s="6" t="str">
        <f t="shared" si="0"/>
        <v/>
      </c>
      <c r="C24" s="3"/>
      <c r="D24" s="4"/>
    </row>
    <row r="25" spans="1:4" ht="24" customHeight="1">
      <c r="A25" s="2"/>
      <c r="B25" s="3" t="str">
        <f t="shared" si="0"/>
        <v/>
      </c>
      <c r="C25" s="3"/>
      <c r="D25" s="4"/>
    </row>
    <row r="26" spans="1:4" ht="24" customHeight="1">
      <c r="A26" s="5"/>
      <c r="B26" s="6" t="str">
        <f t="shared" si="0"/>
        <v/>
      </c>
      <c r="C26" s="3"/>
      <c r="D26" s="4"/>
    </row>
    <row r="27" spans="1:4" ht="24" customHeight="1">
      <c r="A27" s="2"/>
      <c r="B27" s="3" t="str">
        <f t="shared" si="0"/>
        <v/>
      </c>
      <c r="C27" s="3"/>
      <c r="D27" s="4"/>
    </row>
    <row r="28" spans="1:4" ht="24" customHeight="1">
      <c r="A28" s="5"/>
      <c r="B28" s="6" t="str">
        <f t="shared" si="0"/>
        <v/>
      </c>
      <c r="C28" s="3"/>
      <c r="D28" s="4"/>
    </row>
    <row r="29" spans="1:4" ht="24" customHeight="1">
      <c r="A29" s="2"/>
      <c r="B29" s="3" t="str">
        <f t="shared" si="0"/>
        <v/>
      </c>
      <c r="C29" s="3"/>
      <c r="D29" s="4"/>
    </row>
    <row r="30" spans="1:4" ht="24" customHeight="1">
      <c r="A30" s="5"/>
      <c r="B30" s="6" t="str">
        <f t="shared" si="0"/>
        <v/>
      </c>
      <c r="C30" s="3"/>
      <c r="D30" s="4"/>
    </row>
    <row r="31" spans="1:4" ht="24" customHeight="1">
      <c r="A31" s="2"/>
      <c r="B31" s="3" t="str">
        <f t="shared" si="0"/>
        <v/>
      </c>
      <c r="C31" s="3"/>
      <c r="D31" s="4"/>
    </row>
    <row r="32" spans="1:4" ht="24" customHeight="1">
      <c r="A32" s="5"/>
      <c r="B32" s="6" t="str">
        <f t="shared" si="0"/>
        <v/>
      </c>
      <c r="C32" s="3"/>
      <c r="D32" s="4"/>
    </row>
    <row r="33" spans="1:4" ht="24" customHeight="1">
      <c r="A33" s="2"/>
      <c r="B33" s="3" t="str">
        <f t="shared" si="0"/>
        <v/>
      </c>
      <c r="C33" s="3"/>
      <c r="D33" s="4"/>
    </row>
    <row r="34" spans="1:4" ht="24" customHeight="1">
      <c r="A34" s="5"/>
      <c r="B34" s="6" t="str">
        <f t="shared" si="0"/>
        <v/>
      </c>
      <c r="C34" s="3"/>
      <c r="D34" s="4"/>
    </row>
    <row r="35" spans="1:4" ht="24" customHeight="1">
      <c r="A35" s="2"/>
      <c r="B35" s="3" t="str">
        <f t="shared" si="0"/>
        <v/>
      </c>
      <c r="C35" s="3"/>
      <c r="D35" s="4"/>
    </row>
    <row r="36" spans="1:4" ht="24" customHeight="1">
      <c r="A36" s="5"/>
      <c r="B36" s="6" t="str">
        <f t="shared" si="0"/>
        <v/>
      </c>
      <c r="C36" s="3"/>
      <c r="D36" s="4"/>
    </row>
    <row r="37" spans="1:4" ht="24" customHeight="1">
      <c r="A37" s="2"/>
      <c r="B37" s="3" t="str">
        <f t="shared" si="0"/>
        <v/>
      </c>
      <c r="C37" s="3"/>
      <c r="D37" s="4"/>
    </row>
    <row r="38" spans="1:4" ht="24" customHeight="1">
      <c r="A38" s="5"/>
      <c r="B38" s="6" t="str">
        <f t="shared" si="0"/>
        <v/>
      </c>
      <c r="C38" s="3"/>
      <c r="D38" s="4"/>
    </row>
    <row r="39" spans="1:4" ht="24" customHeight="1">
      <c r="A39" s="2"/>
      <c r="B39" s="3" t="str">
        <f t="shared" si="0"/>
        <v/>
      </c>
      <c r="C39" s="3"/>
      <c r="D39" s="4"/>
    </row>
    <row r="40" spans="1:4" ht="24" customHeight="1">
      <c r="A40" s="5"/>
      <c r="B40" s="6" t="str">
        <f t="shared" si="0"/>
        <v/>
      </c>
      <c r="C40" s="3"/>
      <c r="D40" s="4"/>
    </row>
    <row r="41" spans="1:4" ht="24" customHeight="1">
      <c r="A41" s="2"/>
      <c r="B41" s="3" t="str">
        <f t="shared" si="0"/>
        <v/>
      </c>
      <c r="C41" s="3"/>
      <c r="D41" s="4"/>
    </row>
    <row r="42" spans="1:4" ht="24" customHeight="1">
      <c r="A42" s="5"/>
      <c r="B42" s="6" t="str">
        <f t="shared" si="0"/>
        <v/>
      </c>
      <c r="C42" s="3"/>
      <c r="D42" s="4"/>
    </row>
    <row r="43" spans="1:4" ht="24" customHeight="1">
      <c r="A43" s="2"/>
      <c r="B43" s="3" t="str">
        <f t="shared" si="0"/>
        <v/>
      </c>
      <c r="C43" s="3"/>
      <c r="D43" s="4"/>
    </row>
    <row r="44" spans="1:4" ht="24" customHeight="1">
      <c r="A44" s="5"/>
      <c r="B44" s="6" t="str">
        <f t="shared" si="0"/>
        <v/>
      </c>
      <c r="C44" s="3"/>
      <c r="D44" s="4"/>
    </row>
    <row r="45" spans="1:4" ht="24" customHeight="1">
      <c r="A45" s="2"/>
      <c r="B45" s="3" t="str">
        <f t="shared" si="0"/>
        <v/>
      </c>
      <c r="C45" s="3"/>
      <c r="D45" s="4"/>
    </row>
    <row r="46" spans="1:4" ht="24" customHeight="1">
      <c r="A46" s="5"/>
      <c r="B46" s="6" t="str">
        <f t="shared" si="0"/>
        <v/>
      </c>
      <c r="C46" s="3"/>
      <c r="D46" s="4"/>
    </row>
    <row r="47" spans="1:4" ht="24" customHeight="1">
      <c r="A47" s="2"/>
      <c r="B47" s="3" t="str">
        <f t="shared" si="0"/>
        <v/>
      </c>
      <c r="C47" s="3"/>
      <c r="D47" s="4"/>
    </row>
    <row r="48" spans="1:4" ht="24" customHeight="1">
      <c r="A48" s="5"/>
      <c r="B48" s="6" t="str">
        <f t="shared" si="0"/>
        <v/>
      </c>
      <c r="C48" s="3"/>
      <c r="D48" s="4"/>
    </row>
    <row r="49" spans="1:4" ht="24" customHeight="1">
      <c r="A49" s="2"/>
      <c r="B49" s="3" t="str">
        <f t="shared" si="0"/>
        <v/>
      </c>
      <c r="C49" s="3"/>
      <c r="D49" s="4"/>
    </row>
    <row r="50" spans="1:4" ht="24" customHeight="1">
      <c r="A50" s="5"/>
      <c r="B50" s="6" t="str">
        <f t="shared" si="0"/>
        <v/>
      </c>
      <c r="C50" s="3"/>
      <c r="D50" s="4"/>
    </row>
    <row r="51" spans="1:4" ht="24" customHeight="1">
      <c r="A51" s="2"/>
      <c r="B51" s="3" t="str">
        <f t="shared" si="0"/>
        <v/>
      </c>
      <c r="C51" s="3"/>
      <c r="D51" s="4"/>
    </row>
    <row r="52" spans="1:4" ht="24" customHeight="1">
      <c r="A52" s="5"/>
      <c r="B52" s="6" t="str">
        <f t="shared" si="0"/>
        <v/>
      </c>
      <c r="C52" s="3"/>
      <c r="D52" s="4"/>
    </row>
    <row r="53" spans="1:4" ht="24" customHeight="1">
      <c r="A53" s="2"/>
      <c r="B53" s="3" t="str">
        <f t="shared" si="0"/>
        <v/>
      </c>
      <c r="C53" s="3"/>
      <c r="D53" s="4"/>
    </row>
    <row r="54" spans="1:4" ht="24" customHeight="1">
      <c r="A54" s="5"/>
      <c r="B54" s="6" t="str">
        <f t="shared" si="0"/>
        <v/>
      </c>
      <c r="C54" s="3"/>
      <c r="D54" s="4"/>
    </row>
    <row r="55" spans="1:4" ht="24" customHeight="1">
      <c r="A55" s="2"/>
      <c r="B55" s="3" t="str">
        <f t="shared" si="0"/>
        <v/>
      </c>
      <c r="C55" s="3"/>
      <c r="D55" s="4"/>
    </row>
    <row r="56" spans="1:4" ht="24" customHeight="1">
      <c r="A56" s="5"/>
      <c r="B56" s="6" t="str">
        <f t="shared" si="0"/>
        <v/>
      </c>
      <c r="C56" s="3"/>
      <c r="D56" s="4"/>
    </row>
    <row r="57" spans="1:4" ht="24" customHeight="1">
      <c r="A57" s="2"/>
      <c r="B57" s="3" t="str">
        <f t="shared" si="0"/>
        <v/>
      </c>
      <c r="C57" s="3"/>
      <c r="D57" s="4"/>
    </row>
    <row r="58" spans="1:4" ht="24" customHeight="1">
      <c r="A58" s="5"/>
      <c r="B58" s="6" t="str">
        <f t="shared" si="0"/>
        <v/>
      </c>
      <c r="C58" s="3"/>
      <c r="D58" s="4"/>
    </row>
    <row r="59" spans="1:4" ht="24" customHeight="1">
      <c r="A59" s="2"/>
      <c r="B59" s="3" t="str">
        <f t="shared" si="0"/>
        <v/>
      </c>
      <c r="C59" s="3"/>
      <c r="D59" s="4"/>
    </row>
    <row r="60" spans="1:4" ht="24" customHeight="1">
      <c r="A60" s="5"/>
      <c r="B60" s="6" t="str">
        <f t="shared" si="0"/>
        <v/>
      </c>
      <c r="C60" s="3"/>
      <c r="D60" s="4"/>
    </row>
    <row r="61" spans="1:4" ht="24" customHeight="1">
      <c r="A61" s="2"/>
      <c r="B61" s="3" t="str">
        <f t="shared" si="0"/>
        <v/>
      </c>
      <c r="C61" s="3"/>
      <c r="D61" s="4"/>
    </row>
    <row r="62" spans="1:4" ht="24" customHeight="1">
      <c r="A62" s="5"/>
      <c r="B62" s="6" t="str">
        <f t="shared" si="0"/>
        <v/>
      </c>
      <c r="C62" s="3"/>
      <c r="D62" s="4"/>
    </row>
    <row r="63" spans="1:4" ht="24" customHeight="1">
      <c r="A63" s="2"/>
      <c r="B63" s="3" t="str">
        <f t="shared" si="0"/>
        <v/>
      </c>
      <c r="C63" s="3"/>
      <c r="D63" s="4"/>
    </row>
    <row r="64" spans="1:4" ht="24" customHeight="1">
      <c r="A64" s="5"/>
      <c r="B64" s="6" t="str">
        <f t="shared" si="0"/>
        <v/>
      </c>
      <c r="C64" s="3"/>
      <c r="D64" s="4"/>
    </row>
    <row r="65" spans="1:4" ht="24" customHeight="1">
      <c r="A65" s="2"/>
      <c r="B65" s="3" t="str">
        <f t="shared" si="0"/>
        <v/>
      </c>
      <c r="C65" s="3"/>
      <c r="D65" s="4"/>
    </row>
    <row r="66" spans="1:4" ht="24" customHeight="1">
      <c r="A66" s="5"/>
      <c r="B66" s="6" t="str">
        <f t="shared" si="0"/>
        <v/>
      </c>
      <c r="C66" s="3"/>
      <c r="D66" s="4"/>
    </row>
    <row r="67" spans="1:4" ht="24" customHeight="1">
      <c r="A67" s="2"/>
      <c r="B67" s="3" t="str">
        <f t="shared" si="0"/>
        <v/>
      </c>
      <c r="C67" s="3"/>
      <c r="D67" s="4"/>
    </row>
    <row r="68" spans="1:4" ht="24" customHeight="1">
      <c r="A68" s="5"/>
      <c r="B68" s="6" t="str">
        <f t="shared" si="0"/>
        <v/>
      </c>
      <c r="C68" s="3"/>
      <c r="D68" s="4"/>
    </row>
    <row r="69" spans="1:4" ht="24" customHeight="1">
      <c r="A69" s="2"/>
      <c r="B69" s="3" t="str">
        <f t="shared" si="0"/>
        <v/>
      </c>
      <c r="C69" s="3"/>
      <c r="D69" s="4"/>
    </row>
    <row r="70" spans="1:4" ht="24" customHeight="1">
      <c r="A70" s="5"/>
      <c r="B70" s="6" t="str">
        <f t="shared" si="0"/>
        <v/>
      </c>
      <c r="C70" s="3"/>
      <c r="D70" s="4"/>
    </row>
    <row r="71" spans="1:4" ht="24" customHeight="1">
      <c r="A71" s="2"/>
      <c r="B71" s="3" t="str">
        <f t="shared" si="0"/>
        <v/>
      </c>
      <c r="C71" s="3"/>
      <c r="D71" s="4"/>
    </row>
    <row r="72" spans="1:4" ht="24" customHeight="1">
      <c r="A72" s="5"/>
      <c r="B72" s="6" t="str">
        <f t="shared" si="0"/>
        <v/>
      </c>
      <c r="C72" s="3"/>
      <c r="D72" s="4"/>
    </row>
    <row r="73" spans="1:4" ht="24" customHeight="1">
      <c r="A73" s="2"/>
      <c r="B73" s="3" t="str">
        <f t="shared" si="0"/>
        <v/>
      </c>
      <c r="C73" s="3"/>
      <c r="D73" s="4"/>
    </row>
    <row r="74" spans="1:4" ht="24" customHeight="1">
      <c r="A74" s="5"/>
      <c r="B74" s="6" t="str">
        <f t="shared" si="0"/>
        <v/>
      </c>
      <c r="C74" s="3"/>
      <c r="D74" s="4"/>
    </row>
    <row r="75" spans="1:4" ht="24" customHeight="1">
      <c r="A75" s="2"/>
      <c r="B75" s="3" t="str">
        <f t="shared" si="0"/>
        <v/>
      </c>
      <c r="C75" s="3"/>
      <c r="D75" s="4"/>
    </row>
    <row r="76" spans="1:4" ht="24" customHeight="1">
      <c r="A76" s="5"/>
      <c r="B76" s="6" t="str">
        <f t="shared" si="0"/>
        <v/>
      </c>
      <c r="C76" s="3"/>
      <c r="D76" s="4"/>
    </row>
    <row r="77" spans="1:4" ht="24" customHeight="1">
      <c r="A77" s="2"/>
      <c r="B77" s="3" t="str">
        <f t="shared" si="0"/>
        <v/>
      </c>
      <c r="C77" s="3"/>
      <c r="D77" s="4"/>
    </row>
    <row r="78" spans="1:4" ht="24" customHeight="1">
      <c r="A78" s="5"/>
      <c r="B78" s="6" t="str">
        <f t="shared" si="0"/>
        <v/>
      </c>
      <c r="C78" s="3"/>
      <c r="D78" s="4"/>
    </row>
    <row r="79" spans="1:4" ht="24" customHeight="1">
      <c r="A79" s="2"/>
      <c r="B79" s="3" t="str">
        <f t="shared" si="0"/>
        <v/>
      </c>
      <c r="C79" s="3"/>
      <c r="D79" s="4"/>
    </row>
    <row r="80" spans="1:4" ht="24" customHeight="1">
      <c r="A80" s="5"/>
      <c r="B80" s="6" t="str">
        <f t="shared" si="0"/>
        <v/>
      </c>
      <c r="C80" s="3"/>
      <c r="D80" s="4"/>
    </row>
    <row r="81" spans="1:4" ht="24" customHeight="1">
      <c r="A81" s="2"/>
      <c r="B81" s="3" t="str">
        <f t="shared" si="0"/>
        <v/>
      </c>
      <c r="C81" s="3"/>
      <c r="D81" s="4"/>
    </row>
    <row r="82" spans="1:4" ht="24" customHeight="1">
      <c r="A82" s="5"/>
      <c r="B82" s="6" t="str">
        <f t="shared" si="0"/>
        <v/>
      </c>
      <c r="C82" s="3"/>
      <c r="D82" s="4"/>
    </row>
    <row r="83" spans="1:4" ht="24" customHeight="1">
      <c r="A83" s="2"/>
      <c r="B83" s="3" t="str">
        <f t="shared" si="0"/>
        <v/>
      </c>
      <c r="C83" s="3"/>
      <c r="D83" s="4"/>
    </row>
    <row r="84" spans="1:4" ht="24" customHeight="1">
      <c r="A84" s="5"/>
      <c r="B84" s="6" t="str">
        <f t="shared" si="0"/>
        <v/>
      </c>
      <c r="C84" s="3"/>
      <c r="D84" s="4"/>
    </row>
    <row r="85" spans="1:4" ht="24" customHeight="1">
      <c r="A85" s="2"/>
      <c r="B85" s="3" t="str">
        <f t="shared" si="0"/>
        <v/>
      </c>
      <c r="C85" s="3"/>
      <c r="D85" s="4"/>
    </row>
    <row r="86" spans="1:4" ht="24" customHeight="1">
      <c r="A86" s="5"/>
      <c r="B86" s="6" t="str">
        <f t="shared" si="0"/>
        <v/>
      </c>
      <c r="C86" s="3"/>
      <c r="D86" s="4"/>
    </row>
    <row r="87" spans="1:4" ht="24" customHeight="1">
      <c r="A87" s="2"/>
      <c r="B87" s="3" t="str">
        <f t="shared" si="0"/>
        <v/>
      </c>
      <c r="C87" s="3"/>
      <c r="D87" s="4"/>
    </row>
    <row r="88" spans="1:4" ht="24" customHeight="1">
      <c r="A88" s="5"/>
      <c r="B88" s="6" t="str">
        <f t="shared" si="0"/>
        <v/>
      </c>
      <c r="C88" s="3"/>
      <c r="D88" s="4"/>
    </row>
    <row r="89" spans="1:4" ht="24" customHeight="1">
      <c r="A89" s="2"/>
      <c r="B89" s="3" t="str">
        <f t="shared" si="0"/>
        <v/>
      </c>
      <c r="C89" s="3"/>
      <c r="D89" s="4"/>
    </row>
    <row r="90" spans="1:4" ht="24" customHeight="1">
      <c r="A90" s="5"/>
      <c r="B90" s="6" t="str">
        <f t="shared" si="0"/>
        <v/>
      </c>
      <c r="C90" s="3"/>
      <c r="D90" s="4"/>
    </row>
    <row r="91" spans="1:4" ht="24" customHeight="1">
      <c r="A91" s="2"/>
      <c r="B91" s="3" t="str">
        <f t="shared" si="0"/>
        <v/>
      </c>
      <c r="C91" s="3"/>
      <c r="D91" s="4"/>
    </row>
    <row r="92" spans="1:4" ht="24" customHeight="1">
      <c r="A92" s="5"/>
      <c r="B92" s="6" t="str">
        <f t="shared" si="0"/>
        <v/>
      </c>
      <c r="C92" s="3"/>
      <c r="D92" s="4"/>
    </row>
    <row r="93" spans="1:4" ht="24" customHeight="1">
      <c r="A93" s="2"/>
      <c r="B93" s="3" t="str">
        <f t="shared" si="0"/>
        <v/>
      </c>
      <c r="C93" s="3"/>
      <c r="D93" s="4"/>
    </row>
    <row r="94" spans="1:4" ht="24" customHeight="1">
      <c r="A94" s="5"/>
      <c r="B94" s="6" t="str">
        <f t="shared" si="0"/>
        <v/>
      </c>
      <c r="C94" s="3"/>
      <c r="D94" s="4"/>
    </row>
    <row r="95" spans="1:4" ht="24" customHeight="1">
      <c r="A95" s="2"/>
      <c r="B95" s="3" t="str">
        <f t="shared" si="0"/>
        <v/>
      </c>
      <c r="C95" s="3"/>
      <c r="D95" s="4"/>
    </row>
    <row r="96" spans="1:4" ht="24" customHeight="1">
      <c r="A96" s="5"/>
      <c r="B96" s="6" t="str">
        <f t="shared" si="0"/>
        <v/>
      </c>
      <c r="C96" s="3"/>
      <c r="D96" s="4"/>
    </row>
    <row r="97" spans="1:4" ht="24" customHeight="1">
      <c r="A97" s="2"/>
      <c r="B97" s="3" t="str">
        <f t="shared" si="0"/>
        <v/>
      </c>
      <c r="C97" s="3"/>
      <c r="D97" s="4"/>
    </row>
    <row r="98" spans="1:4" ht="24" customHeight="1">
      <c r="A98" s="5"/>
      <c r="B98" s="6" t="str">
        <f t="shared" si="0"/>
        <v/>
      </c>
      <c r="C98" s="3"/>
      <c r="D98" s="4"/>
    </row>
    <row r="99" spans="1:4" ht="24" customHeight="1">
      <c r="A99" s="2"/>
      <c r="B99" s="3" t="str">
        <f t="shared" si="0"/>
        <v/>
      </c>
      <c r="C99" s="3"/>
      <c r="D99" s="4"/>
    </row>
    <row r="100" spans="1:4" ht="24" customHeight="1">
      <c r="A100" s="5"/>
      <c r="B100" s="6" t="str">
        <f t="shared" si="0"/>
        <v/>
      </c>
      <c r="C100" s="3"/>
      <c r="D100" s="4"/>
    </row>
    <row r="101" spans="1:4" ht="24" customHeight="1">
      <c r="A101" s="2"/>
      <c r="B101" s="3" t="str">
        <f t="shared" si="0"/>
        <v/>
      </c>
      <c r="C101" s="3"/>
      <c r="D101" s="4"/>
    </row>
    <row r="102" spans="1:4" ht="24" customHeight="1">
      <c r="A102" s="5"/>
      <c r="B102" s="6" t="str">
        <f t="shared" si="0"/>
        <v/>
      </c>
      <c r="C102" s="3"/>
      <c r="D102" s="4"/>
    </row>
    <row r="103" spans="1:4" ht="24" customHeight="1">
      <c r="A103" s="2"/>
      <c r="B103" s="3" t="str">
        <f t="shared" si="0"/>
        <v/>
      </c>
      <c r="C103" s="3"/>
      <c r="D103" s="4"/>
    </row>
    <row r="104" spans="1:4" ht="24" customHeight="1">
      <c r="A104" s="5"/>
      <c r="B104" s="6" t="str">
        <f t="shared" si="0"/>
        <v/>
      </c>
      <c r="C104" s="3"/>
      <c r="D104" s="4"/>
    </row>
    <row r="105" spans="1:4" ht="15.75" customHeight="1"/>
    <row r="106" spans="1:4" ht="15.75" customHeight="1"/>
    <row r="107" spans="1:4" ht="15.75" customHeight="1"/>
    <row r="108" spans="1:4" ht="15.75" customHeight="1"/>
    <row r="109" spans="1:4" ht="15.75" customHeight="1"/>
    <row r="110" spans="1:4" ht="15.75" customHeight="1"/>
    <row r="111" spans="1:4" ht="15.75" customHeight="1"/>
    <row r="112" spans="1:4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2:D2"/>
  </mergeCells>
  <conditionalFormatting sqref="C5:C104">
    <cfRule type="expression" dxfId="9" priority="1">
      <formula>C5="مكتمل"</formula>
    </cfRule>
    <cfRule type="expression" dxfId="8" priority="2">
      <formula>C5="قيد التنفيذ"</formula>
    </cfRule>
    <cfRule type="expression" dxfId="7" priority="3">
      <formula>C5="متأخر"</formula>
    </cfRule>
    <cfRule type="expression" dxfId="6" priority="4">
      <formula>C5="متوقف / قرار"</formula>
    </cfRule>
    <cfRule type="expression" dxfId="5" priority="5">
      <formula>C5="لم يبدأ"</formula>
    </cfRule>
  </conditionalFormatting>
  <dataValidations count="1">
    <dataValidation type="list" allowBlank="1" sqref="C5:C104" xr:uid="{00000000-0002-0000-0400-000000000000}">
      <formula1>"لم يبدأ,قيد التنفيذ,مكتمل,متأخر,متوقف / قرار"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00"/>
  <sheetViews>
    <sheetView rightToLeft="1" workbookViewId="0"/>
  </sheetViews>
  <sheetFormatPr defaultColWidth="12.625" defaultRowHeight="15" customHeight="1"/>
  <cols>
    <col min="1" max="1" width="46" customWidth="1"/>
    <col min="2" max="2" width="16" customWidth="1"/>
    <col min="3" max="3" width="19" customWidth="1"/>
    <col min="4" max="4" width="15" customWidth="1"/>
    <col min="5" max="26" width="8.625" customWidth="1"/>
  </cols>
  <sheetData>
    <row r="1" spans="1:4" ht="33.75" customHeight="1">
      <c r="A1" s="23" t="s">
        <v>0</v>
      </c>
      <c r="B1" s="17"/>
      <c r="C1" s="17"/>
      <c r="D1" s="17"/>
    </row>
    <row r="2" spans="1:4" ht="24" customHeight="1">
      <c r="A2" s="20" t="s">
        <v>26</v>
      </c>
      <c r="B2" s="17"/>
      <c r="C2" s="17"/>
      <c r="D2" s="17"/>
    </row>
    <row r="4" spans="1:4" ht="27.75" customHeight="1">
      <c r="A4" s="1" t="s">
        <v>2</v>
      </c>
      <c r="B4" s="1" t="s">
        <v>4</v>
      </c>
      <c r="C4" s="1" t="s">
        <v>5</v>
      </c>
      <c r="D4" s="1" t="s">
        <v>6</v>
      </c>
    </row>
    <row r="5" spans="1:4" ht="24" customHeight="1">
      <c r="A5" s="15" t="s">
        <v>27</v>
      </c>
      <c r="B5" s="3" t="str">
        <f t="shared" ref="B5:B104" si="0">IF(A5&lt;&gt;"","زكريا","")</f>
        <v>زكريا</v>
      </c>
      <c r="C5" s="3" t="s">
        <v>12</v>
      </c>
      <c r="D5" s="4"/>
    </row>
    <row r="6" spans="1:4" ht="24" customHeight="1">
      <c r="A6" s="15" t="s">
        <v>28</v>
      </c>
      <c r="B6" s="6" t="str">
        <f t="shared" si="0"/>
        <v>زكريا</v>
      </c>
      <c r="C6" s="3" t="s">
        <v>12</v>
      </c>
      <c r="D6" s="4"/>
    </row>
    <row r="7" spans="1:4" ht="24" customHeight="1">
      <c r="A7" s="15" t="s">
        <v>29</v>
      </c>
      <c r="B7" s="3" t="str">
        <f t="shared" si="0"/>
        <v>زكريا</v>
      </c>
      <c r="C7" s="3" t="s">
        <v>13</v>
      </c>
      <c r="D7" s="4"/>
    </row>
    <row r="8" spans="1:4" ht="24" customHeight="1">
      <c r="A8" s="15" t="s">
        <v>30</v>
      </c>
      <c r="B8" s="6" t="str">
        <f t="shared" si="0"/>
        <v>زكريا</v>
      </c>
      <c r="C8" s="3" t="s">
        <v>12</v>
      </c>
      <c r="D8" s="4"/>
    </row>
    <row r="9" spans="1:4" ht="24" customHeight="1">
      <c r="A9" s="15" t="s">
        <v>31</v>
      </c>
      <c r="B9" s="3" t="str">
        <f t="shared" si="0"/>
        <v>زكريا</v>
      </c>
      <c r="C9" s="3" t="s">
        <v>12</v>
      </c>
      <c r="D9" s="4"/>
    </row>
    <row r="10" spans="1:4" ht="24" customHeight="1">
      <c r="A10" s="5" t="s">
        <v>32</v>
      </c>
      <c r="B10" s="6" t="str">
        <f t="shared" si="0"/>
        <v>زكريا</v>
      </c>
      <c r="C10" s="3" t="s">
        <v>12</v>
      </c>
      <c r="D10" s="4"/>
    </row>
    <row r="11" spans="1:4" ht="24" customHeight="1">
      <c r="A11" s="15" t="s">
        <v>33</v>
      </c>
      <c r="B11" s="3" t="str">
        <f t="shared" si="0"/>
        <v>زكريا</v>
      </c>
      <c r="C11" s="3" t="s">
        <v>12</v>
      </c>
      <c r="D11" s="4"/>
    </row>
    <row r="12" spans="1:4" ht="24" customHeight="1">
      <c r="A12" s="5" t="s">
        <v>34</v>
      </c>
      <c r="B12" s="6" t="str">
        <f t="shared" si="0"/>
        <v>زكريا</v>
      </c>
      <c r="C12" s="3" t="s">
        <v>12</v>
      </c>
      <c r="D12" s="4"/>
    </row>
    <row r="13" spans="1:4" ht="24" customHeight="1">
      <c r="A13" s="2" t="s">
        <v>35</v>
      </c>
      <c r="B13" s="3" t="str">
        <f t="shared" si="0"/>
        <v>زكريا</v>
      </c>
      <c r="C13" s="3" t="s">
        <v>12</v>
      </c>
      <c r="D13" s="4"/>
    </row>
    <row r="14" spans="1:4" ht="24" customHeight="1">
      <c r="A14" s="5" t="s">
        <v>36</v>
      </c>
      <c r="B14" s="6" t="str">
        <f t="shared" si="0"/>
        <v>زكريا</v>
      </c>
      <c r="C14" s="3" t="s">
        <v>12</v>
      </c>
      <c r="D14" s="4"/>
    </row>
    <row r="15" spans="1:4" ht="24" customHeight="1">
      <c r="A15" s="2" t="s">
        <v>37</v>
      </c>
      <c r="B15" s="3" t="str">
        <f t="shared" si="0"/>
        <v>زكريا</v>
      </c>
      <c r="C15" s="3" t="s">
        <v>12</v>
      </c>
      <c r="D15" s="4"/>
    </row>
    <row r="16" spans="1:4" ht="24" customHeight="1">
      <c r="A16" s="5" t="s">
        <v>38</v>
      </c>
      <c r="B16" s="6" t="str">
        <f t="shared" si="0"/>
        <v>زكريا</v>
      </c>
      <c r="C16" s="3" t="s">
        <v>12</v>
      </c>
      <c r="D16" s="4"/>
    </row>
    <row r="17" spans="1:4" ht="24" customHeight="1">
      <c r="A17" s="2" t="s">
        <v>39</v>
      </c>
      <c r="B17" s="3" t="str">
        <f t="shared" si="0"/>
        <v>زكريا</v>
      </c>
      <c r="C17" s="3" t="s">
        <v>12</v>
      </c>
      <c r="D17" s="4"/>
    </row>
    <row r="18" spans="1:4" ht="24" customHeight="1">
      <c r="A18" s="5" t="s">
        <v>40</v>
      </c>
      <c r="B18" s="6" t="str">
        <f t="shared" si="0"/>
        <v>زكريا</v>
      </c>
      <c r="C18" s="3" t="s">
        <v>13</v>
      </c>
      <c r="D18" s="4"/>
    </row>
    <row r="19" spans="1:4" ht="24" customHeight="1">
      <c r="A19" s="2"/>
      <c r="B19" s="3" t="str">
        <f t="shared" si="0"/>
        <v/>
      </c>
      <c r="C19" s="3"/>
      <c r="D19" s="4"/>
    </row>
    <row r="20" spans="1:4" ht="24" customHeight="1">
      <c r="A20" s="5"/>
      <c r="B20" s="6" t="str">
        <f t="shared" si="0"/>
        <v/>
      </c>
      <c r="C20" s="3"/>
      <c r="D20" s="4"/>
    </row>
    <row r="21" spans="1:4" ht="24" customHeight="1">
      <c r="A21" s="2"/>
      <c r="B21" s="3" t="str">
        <f t="shared" si="0"/>
        <v/>
      </c>
      <c r="C21" s="3"/>
      <c r="D21" s="4"/>
    </row>
    <row r="22" spans="1:4" ht="24" customHeight="1">
      <c r="A22" s="5"/>
      <c r="B22" s="6" t="str">
        <f t="shared" si="0"/>
        <v/>
      </c>
      <c r="C22" s="3"/>
      <c r="D22" s="4"/>
    </row>
    <row r="23" spans="1:4" ht="24" customHeight="1">
      <c r="A23" s="2"/>
      <c r="B23" s="3" t="str">
        <f t="shared" si="0"/>
        <v/>
      </c>
      <c r="C23" s="3"/>
      <c r="D23" s="4"/>
    </row>
    <row r="24" spans="1:4" ht="24" customHeight="1">
      <c r="A24" s="5"/>
      <c r="B24" s="6" t="str">
        <f t="shared" si="0"/>
        <v/>
      </c>
      <c r="C24" s="3"/>
      <c r="D24" s="4"/>
    </row>
    <row r="25" spans="1:4" ht="24" customHeight="1">
      <c r="A25" s="2"/>
      <c r="B25" s="3" t="str">
        <f t="shared" si="0"/>
        <v/>
      </c>
      <c r="C25" s="3"/>
      <c r="D25" s="4"/>
    </row>
    <row r="26" spans="1:4" ht="24" customHeight="1">
      <c r="A26" s="5"/>
      <c r="B26" s="6" t="str">
        <f t="shared" si="0"/>
        <v/>
      </c>
      <c r="C26" s="3"/>
      <c r="D26" s="4"/>
    </row>
    <row r="27" spans="1:4" ht="24" customHeight="1">
      <c r="A27" s="2"/>
      <c r="B27" s="3" t="str">
        <f t="shared" si="0"/>
        <v/>
      </c>
      <c r="C27" s="3"/>
      <c r="D27" s="4"/>
    </row>
    <row r="28" spans="1:4" ht="24" customHeight="1">
      <c r="A28" s="5"/>
      <c r="B28" s="6" t="str">
        <f t="shared" si="0"/>
        <v/>
      </c>
      <c r="C28" s="3"/>
      <c r="D28" s="4"/>
    </row>
    <row r="29" spans="1:4" ht="24" customHeight="1">
      <c r="A29" s="2"/>
      <c r="B29" s="3" t="str">
        <f t="shared" si="0"/>
        <v/>
      </c>
      <c r="C29" s="3"/>
      <c r="D29" s="4"/>
    </row>
    <row r="30" spans="1:4" ht="24" customHeight="1">
      <c r="A30" s="5"/>
      <c r="B30" s="6" t="str">
        <f t="shared" si="0"/>
        <v/>
      </c>
      <c r="C30" s="3"/>
      <c r="D30" s="4"/>
    </row>
    <row r="31" spans="1:4" ht="24" customHeight="1">
      <c r="A31" s="2"/>
      <c r="B31" s="3" t="str">
        <f t="shared" si="0"/>
        <v/>
      </c>
      <c r="C31" s="3"/>
      <c r="D31" s="4"/>
    </row>
    <row r="32" spans="1:4" ht="24" customHeight="1">
      <c r="A32" s="5"/>
      <c r="B32" s="6" t="str">
        <f t="shared" si="0"/>
        <v/>
      </c>
      <c r="C32" s="3"/>
      <c r="D32" s="4"/>
    </row>
    <row r="33" spans="1:4" ht="24" customHeight="1">
      <c r="A33" s="2"/>
      <c r="B33" s="3" t="str">
        <f t="shared" si="0"/>
        <v/>
      </c>
      <c r="C33" s="3"/>
      <c r="D33" s="4"/>
    </row>
    <row r="34" spans="1:4" ht="24" customHeight="1">
      <c r="A34" s="5"/>
      <c r="B34" s="6" t="str">
        <f t="shared" si="0"/>
        <v/>
      </c>
      <c r="C34" s="3"/>
      <c r="D34" s="4"/>
    </row>
    <row r="35" spans="1:4" ht="24" customHeight="1">
      <c r="A35" s="2"/>
      <c r="B35" s="3" t="str">
        <f t="shared" si="0"/>
        <v/>
      </c>
      <c r="C35" s="3"/>
      <c r="D35" s="4"/>
    </row>
    <row r="36" spans="1:4" ht="24" customHeight="1">
      <c r="A36" s="5"/>
      <c r="B36" s="6" t="str">
        <f t="shared" si="0"/>
        <v/>
      </c>
      <c r="C36" s="3"/>
      <c r="D36" s="4"/>
    </row>
    <row r="37" spans="1:4" ht="24" customHeight="1">
      <c r="A37" s="2"/>
      <c r="B37" s="3" t="str">
        <f t="shared" si="0"/>
        <v/>
      </c>
      <c r="C37" s="3"/>
      <c r="D37" s="4"/>
    </row>
    <row r="38" spans="1:4" ht="24" customHeight="1">
      <c r="A38" s="5"/>
      <c r="B38" s="6" t="str">
        <f t="shared" si="0"/>
        <v/>
      </c>
      <c r="C38" s="3"/>
      <c r="D38" s="4"/>
    </row>
    <row r="39" spans="1:4" ht="24" customHeight="1">
      <c r="A39" s="2"/>
      <c r="B39" s="3" t="str">
        <f t="shared" si="0"/>
        <v/>
      </c>
      <c r="C39" s="3"/>
      <c r="D39" s="4"/>
    </row>
    <row r="40" spans="1:4" ht="24" customHeight="1">
      <c r="A40" s="5"/>
      <c r="B40" s="6" t="str">
        <f t="shared" si="0"/>
        <v/>
      </c>
      <c r="C40" s="3"/>
      <c r="D40" s="4"/>
    </row>
    <row r="41" spans="1:4" ht="24" customHeight="1">
      <c r="A41" s="2"/>
      <c r="B41" s="3" t="str">
        <f t="shared" si="0"/>
        <v/>
      </c>
      <c r="C41" s="3"/>
      <c r="D41" s="4"/>
    </row>
    <row r="42" spans="1:4" ht="24" customHeight="1">
      <c r="A42" s="5"/>
      <c r="B42" s="6" t="str">
        <f t="shared" si="0"/>
        <v/>
      </c>
      <c r="C42" s="3"/>
      <c r="D42" s="4"/>
    </row>
    <row r="43" spans="1:4" ht="24" customHeight="1">
      <c r="A43" s="2"/>
      <c r="B43" s="3" t="str">
        <f t="shared" si="0"/>
        <v/>
      </c>
      <c r="C43" s="3"/>
      <c r="D43" s="4"/>
    </row>
    <row r="44" spans="1:4" ht="24" customHeight="1">
      <c r="A44" s="5"/>
      <c r="B44" s="6" t="str">
        <f t="shared" si="0"/>
        <v/>
      </c>
      <c r="C44" s="3"/>
      <c r="D44" s="4"/>
    </row>
    <row r="45" spans="1:4" ht="24" customHeight="1">
      <c r="A45" s="2"/>
      <c r="B45" s="3" t="str">
        <f t="shared" si="0"/>
        <v/>
      </c>
      <c r="C45" s="3"/>
      <c r="D45" s="4"/>
    </row>
    <row r="46" spans="1:4" ht="24" customHeight="1">
      <c r="A46" s="5"/>
      <c r="B46" s="6" t="str">
        <f t="shared" si="0"/>
        <v/>
      </c>
      <c r="C46" s="3"/>
      <c r="D46" s="4"/>
    </row>
    <row r="47" spans="1:4" ht="24" customHeight="1">
      <c r="A47" s="2"/>
      <c r="B47" s="3" t="str">
        <f t="shared" si="0"/>
        <v/>
      </c>
      <c r="C47" s="3"/>
      <c r="D47" s="4"/>
    </row>
    <row r="48" spans="1:4" ht="24" customHeight="1">
      <c r="A48" s="5"/>
      <c r="B48" s="6" t="str">
        <f t="shared" si="0"/>
        <v/>
      </c>
      <c r="C48" s="3"/>
      <c r="D48" s="4"/>
    </row>
    <row r="49" spans="1:4" ht="24" customHeight="1">
      <c r="A49" s="2"/>
      <c r="B49" s="3" t="str">
        <f t="shared" si="0"/>
        <v/>
      </c>
      <c r="C49" s="3"/>
      <c r="D49" s="4"/>
    </row>
    <row r="50" spans="1:4" ht="24" customHeight="1">
      <c r="A50" s="5"/>
      <c r="B50" s="6" t="str">
        <f t="shared" si="0"/>
        <v/>
      </c>
      <c r="C50" s="3"/>
      <c r="D50" s="4"/>
    </row>
    <row r="51" spans="1:4" ht="24" customHeight="1">
      <c r="A51" s="2"/>
      <c r="B51" s="3" t="str">
        <f t="shared" si="0"/>
        <v/>
      </c>
      <c r="C51" s="3"/>
      <c r="D51" s="4"/>
    </row>
    <row r="52" spans="1:4" ht="24" customHeight="1">
      <c r="A52" s="5"/>
      <c r="B52" s="6" t="str">
        <f t="shared" si="0"/>
        <v/>
      </c>
      <c r="C52" s="3"/>
      <c r="D52" s="4"/>
    </row>
    <row r="53" spans="1:4" ht="24" customHeight="1">
      <c r="A53" s="2"/>
      <c r="B53" s="3" t="str">
        <f t="shared" si="0"/>
        <v/>
      </c>
      <c r="C53" s="3"/>
      <c r="D53" s="4"/>
    </row>
    <row r="54" spans="1:4" ht="24" customHeight="1">
      <c r="A54" s="5"/>
      <c r="B54" s="6" t="str">
        <f t="shared" si="0"/>
        <v/>
      </c>
      <c r="C54" s="3"/>
      <c r="D54" s="4"/>
    </row>
    <row r="55" spans="1:4" ht="24" customHeight="1">
      <c r="A55" s="2"/>
      <c r="B55" s="3" t="str">
        <f t="shared" si="0"/>
        <v/>
      </c>
      <c r="C55" s="3"/>
      <c r="D55" s="4"/>
    </row>
    <row r="56" spans="1:4" ht="24" customHeight="1">
      <c r="A56" s="5"/>
      <c r="B56" s="6" t="str">
        <f t="shared" si="0"/>
        <v/>
      </c>
      <c r="C56" s="3"/>
      <c r="D56" s="4"/>
    </row>
    <row r="57" spans="1:4" ht="24" customHeight="1">
      <c r="A57" s="2"/>
      <c r="B57" s="3" t="str">
        <f t="shared" si="0"/>
        <v/>
      </c>
      <c r="C57" s="3"/>
      <c r="D57" s="4"/>
    </row>
    <row r="58" spans="1:4" ht="24" customHeight="1">
      <c r="A58" s="5"/>
      <c r="B58" s="6" t="str">
        <f t="shared" si="0"/>
        <v/>
      </c>
      <c r="C58" s="3"/>
      <c r="D58" s="4"/>
    </row>
    <row r="59" spans="1:4" ht="24" customHeight="1">
      <c r="A59" s="2"/>
      <c r="B59" s="3" t="str">
        <f t="shared" si="0"/>
        <v/>
      </c>
      <c r="C59" s="3"/>
      <c r="D59" s="4"/>
    </row>
    <row r="60" spans="1:4" ht="24" customHeight="1">
      <c r="A60" s="5"/>
      <c r="B60" s="6" t="str">
        <f t="shared" si="0"/>
        <v/>
      </c>
      <c r="C60" s="3"/>
      <c r="D60" s="4"/>
    </row>
    <row r="61" spans="1:4" ht="24" customHeight="1">
      <c r="A61" s="2"/>
      <c r="B61" s="3" t="str">
        <f t="shared" si="0"/>
        <v/>
      </c>
      <c r="C61" s="3"/>
      <c r="D61" s="4"/>
    </row>
    <row r="62" spans="1:4" ht="24" customHeight="1">
      <c r="A62" s="5"/>
      <c r="B62" s="6" t="str">
        <f t="shared" si="0"/>
        <v/>
      </c>
      <c r="C62" s="3"/>
      <c r="D62" s="4"/>
    </row>
    <row r="63" spans="1:4" ht="24" customHeight="1">
      <c r="A63" s="2"/>
      <c r="B63" s="3" t="str">
        <f t="shared" si="0"/>
        <v/>
      </c>
      <c r="C63" s="3"/>
      <c r="D63" s="4"/>
    </row>
    <row r="64" spans="1:4" ht="24" customHeight="1">
      <c r="A64" s="5"/>
      <c r="B64" s="6" t="str">
        <f t="shared" si="0"/>
        <v/>
      </c>
      <c r="C64" s="3"/>
      <c r="D64" s="4"/>
    </row>
    <row r="65" spans="1:4" ht="24" customHeight="1">
      <c r="A65" s="2"/>
      <c r="B65" s="3" t="str">
        <f t="shared" si="0"/>
        <v/>
      </c>
      <c r="C65" s="3"/>
      <c r="D65" s="4"/>
    </row>
    <row r="66" spans="1:4" ht="24" customHeight="1">
      <c r="A66" s="5"/>
      <c r="B66" s="6" t="str">
        <f t="shared" si="0"/>
        <v/>
      </c>
      <c r="C66" s="3"/>
      <c r="D66" s="4"/>
    </row>
    <row r="67" spans="1:4" ht="24" customHeight="1">
      <c r="A67" s="2"/>
      <c r="B67" s="3" t="str">
        <f t="shared" si="0"/>
        <v/>
      </c>
      <c r="C67" s="3"/>
      <c r="D67" s="4"/>
    </row>
    <row r="68" spans="1:4" ht="24" customHeight="1">
      <c r="A68" s="5"/>
      <c r="B68" s="6" t="str">
        <f t="shared" si="0"/>
        <v/>
      </c>
      <c r="C68" s="3"/>
      <c r="D68" s="4"/>
    </row>
    <row r="69" spans="1:4" ht="24" customHeight="1">
      <c r="A69" s="2"/>
      <c r="B69" s="3" t="str">
        <f t="shared" si="0"/>
        <v/>
      </c>
      <c r="C69" s="3"/>
      <c r="D69" s="4"/>
    </row>
    <row r="70" spans="1:4" ht="24" customHeight="1">
      <c r="A70" s="5"/>
      <c r="B70" s="6" t="str">
        <f t="shared" si="0"/>
        <v/>
      </c>
      <c r="C70" s="3"/>
      <c r="D70" s="4"/>
    </row>
    <row r="71" spans="1:4" ht="24" customHeight="1">
      <c r="A71" s="2"/>
      <c r="B71" s="3" t="str">
        <f t="shared" si="0"/>
        <v/>
      </c>
      <c r="C71" s="3"/>
      <c r="D71" s="4"/>
    </row>
    <row r="72" spans="1:4" ht="24" customHeight="1">
      <c r="A72" s="5"/>
      <c r="B72" s="6" t="str">
        <f t="shared" si="0"/>
        <v/>
      </c>
      <c r="C72" s="3"/>
      <c r="D72" s="4"/>
    </row>
    <row r="73" spans="1:4" ht="24" customHeight="1">
      <c r="A73" s="2"/>
      <c r="B73" s="3" t="str">
        <f t="shared" si="0"/>
        <v/>
      </c>
      <c r="C73" s="3"/>
      <c r="D73" s="4"/>
    </row>
    <row r="74" spans="1:4" ht="24" customHeight="1">
      <c r="A74" s="5"/>
      <c r="B74" s="6" t="str">
        <f t="shared" si="0"/>
        <v/>
      </c>
      <c r="C74" s="3"/>
      <c r="D74" s="4"/>
    </row>
    <row r="75" spans="1:4" ht="24" customHeight="1">
      <c r="A75" s="2"/>
      <c r="B75" s="3" t="str">
        <f t="shared" si="0"/>
        <v/>
      </c>
      <c r="C75" s="3"/>
      <c r="D75" s="4"/>
    </row>
    <row r="76" spans="1:4" ht="24" customHeight="1">
      <c r="A76" s="5"/>
      <c r="B76" s="6" t="str">
        <f t="shared" si="0"/>
        <v/>
      </c>
      <c r="C76" s="3"/>
      <c r="D76" s="4"/>
    </row>
    <row r="77" spans="1:4" ht="24" customHeight="1">
      <c r="A77" s="2"/>
      <c r="B77" s="3" t="str">
        <f t="shared" si="0"/>
        <v/>
      </c>
      <c r="C77" s="3"/>
      <c r="D77" s="4"/>
    </row>
    <row r="78" spans="1:4" ht="24" customHeight="1">
      <c r="A78" s="5"/>
      <c r="B78" s="6" t="str">
        <f t="shared" si="0"/>
        <v/>
      </c>
      <c r="C78" s="3"/>
      <c r="D78" s="4"/>
    </row>
    <row r="79" spans="1:4" ht="24" customHeight="1">
      <c r="A79" s="2"/>
      <c r="B79" s="3" t="str">
        <f t="shared" si="0"/>
        <v/>
      </c>
      <c r="C79" s="3"/>
      <c r="D79" s="4"/>
    </row>
    <row r="80" spans="1:4" ht="24" customHeight="1">
      <c r="A80" s="5"/>
      <c r="B80" s="6" t="str">
        <f t="shared" si="0"/>
        <v/>
      </c>
      <c r="C80" s="3"/>
      <c r="D80" s="4"/>
    </row>
    <row r="81" spans="1:4" ht="24" customHeight="1">
      <c r="A81" s="2"/>
      <c r="B81" s="3" t="str">
        <f t="shared" si="0"/>
        <v/>
      </c>
      <c r="C81" s="3"/>
      <c r="D81" s="4"/>
    </row>
    <row r="82" spans="1:4" ht="24" customHeight="1">
      <c r="A82" s="5"/>
      <c r="B82" s="6" t="str">
        <f t="shared" si="0"/>
        <v/>
      </c>
      <c r="C82" s="3"/>
      <c r="D82" s="4"/>
    </row>
    <row r="83" spans="1:4" ht="24" customHeight="1">
      <c r="A83" s="2"/>
      <c r="B83" s="3" t="str">
        <f t="shared" si="0"/>
        <v/>
      </c>
      <c r="C83" s="3"/>
      <c r="D83" s="4"/>
    </row>
    <row r="84" spans="1:4" ht="24" customHeight="1">
      <c r="A84" s="5"/>
      <c r="B84" s="6" t="str">
        <f t="shared" si="0"/>
        <v/>
      </c>
      <c r="C84" s="3"/>
      <c r="D84" s="4"/>
    </row>
    <row r="85" spans="1:4" ht="24" customHeight="1">
      <c r="A85" s="2"/>
      <c r="B85" s="3" t="str">
        <f t="shared" si="0"/>
        <v/>
      </c>
      <c r="C85" s="3"/>
      <c r="D85" s="4"/>
    </row>
    <row r="86" spans="1:4" ht="24" customHeight="1">
      <c r="A86" s="5"/>
      <c r="B86" s="6" t="str">
        <f t="shared" si="0"/>
        <v/>
      </c>
      <c r="C86" s="3"/>
      <c r="D86" s="4"/>
    </row>
    <row r="87" spans="1:4" ht="24" customHeight="1">
      <c r="A87" s="2"/>
      <c r="B87" s="3" t="str">
        <f t="shared" si="0"/>
        <v/>
      </c>
      <c r="C87" s="3"/>
      <c r="D87" s="4"/>
    </row>
    <row r="88" spans="1:4" ht="24" customHeight="1">
      <c r="A88" s="5"/>
      <c r="B88" s="6" t="str">
        <f t="shared" si="0"/>
        <v/>
      </c>
      <c r="C88" s="3"/>
      <c r="D88" s="4"/>
    </row>
    <row r="89" spans="1:4" ht="24" customHeight="1">
      <c r="A89" s="2"/>
      <c r="B89" s="3" t="str">
        <f t="shared" si="0"/>
        <v/>
      </c>
      <c r="C89" s="3"/>
      <c r="D89" s="4"/>
    </row>
    <row r="90" spans="1:4" ht="24" customHeight="1">
      <c r="A90" s="5"/>
      <c r="B90" s="6" t="str">
        <f t="shared" si="0"/>
        <v/>
      </c>
      <c r="C90" s="3"/>
      <c r="D90" s="4"/>
    </row>
    <row r="91" spans="1:4" ht="24" customHeight="1">
      <c r="A91" s="2"/>
      <c r="B91" s="3" t="str">
        <f t="shared" si="0"/>
        <v/>
      </c>
      <c r="C91" s="3"/>
      <c r="D91" s="4"/>
    </row>
    <row r="92" spans="1:4" ht="24" customHeight="1">
      <c r="A92" s="5"/>
      <c r="B92" s="6" t="str">
        <f t="shared" si="0"/>
        <v/>
      </c>
      <c r="C92" s="3"/>
      <c r="D92" s="4"/>
    </row>
    <row r="93" spans="1:4" ht="24" customHeight="1">
      <c r="A93" s="2"/>
      <c r="B93" s="3" t="str">
        <f t="shared" si="0"/>
        <v/>
      </c>
      <c r="C93" s="3"/>
      <c r="D93" s="4"/>
    </row>
    <row r="94" spans="1:4" ht="24" customHeight="1">
      <c r="A94" s="5"/>
      <c r="B94" s="6" t="str">
        <f t="shared" si="0"/>
        <v/>
      </c>
      <c r="C94" s="3"/>
      <c r="D94" s="4"/>
    </row>
    <row r="95" spans="1:4" ht="24" customHeight="1">
      <c r="A95" s="2"/>
      <c r="B95" s="3" t="str">
        <f t="shared" si="0"/>
        <v/>
      </c>
      <c r="C95" s="3"/>
      <c r="D95" s="4"/>
    </row>
    <row r="96" spans="1:4" ht="24" customHeight="1">
      <c r="A96" s="5"/>
      <c r="B96" s="6" t="str">
        <f t="shared" si="0"/>
        <v/>
      </c>
      <c r="C96" s="3"/>
      <c r="D96" s="4"/>
    </row>
    <row r="97" spans="1:4" ht="24" customHeight="1">
      <c r="A97" s="2"/>
      <c r="B97" s="3" t="str">
        <f t="shared" si="0"/>
        <v/>
      </c>
      <c r="C97" s="3"/>
      <c r="D97" s="4"/>
    </row>
    <row r="98" spans="1:4" ht="24" customHeight="1">
      <c r="A98" s="5"/>
      <c r="B98" s="6" t="str">
        <f t="shared" si="0"/>
        <v/>
      </c>
      <c r="C98" s="3"/>
      <c r="D98" s="4"/>
    </row>
    <row r="99" spans="1:4" ht="24" customHeight="1">
      <c r="A99" s="2"/>
      <c r="B99" s="3" t="str">
        <f t="shared" si="0"/>
        <v/>
      </c>
      <c r="C99" s="3"/>
      <c r="D99" s="4"/>
    </row>
    <row r="100" spans="1:4" ht="24" customHeight="1">
      <c r="A100" s="5"/>
      <c r="B100" s="6" t="str">
        <f t="shared" si="0"/>
        <v/>
      </c>
      <c r="C100" s="3"/>
      <c r="D100" s="4"/>
    </row>
    <row r="101" spans="1:4" ht="24" customHeight="1">
      <c r="A101" s="2"/>
      <c r="B101" s="3" t="str">
        <f t="shared" si="0"/>
        <v/>
      </c>
      <c r="C101" s="3"/>
      <c r="D101" s="4"/>
    </row>
    <row r="102" spans="1:4" ht="24" customHeight="1">
      <c r="A102" s="5"/>
      <c r="B102" s="6" t="str">
        <f t="shared" si="0"/>
        <v/>
      </c>
      <c r="C102" s="3"/>
      <c r="D102" s="4"/>
    </row>
    <row r="103" spans="1:4" ht="24" customHeight="1">
      <c r="A103" s="2"/>
      <c r="B103" s="3" t="str">
        <f t="shared" si="0"/>
        <v/>
      </c>
      <c r="C103" s="3"/>
      <c r="D103" s="4"/>
    </row>
    <row r="104" spans="1:4" ht="24" customHeight="1">
      <c r="A104" s="5"/>
      <c r="B104" s="6" t="str">
        <f t="shared" si="0"/>
        <v/>
      </c>
      <c r="C104" s="3"/>
      <c r="D104" s="4"/>
    </row>
    <row r="105" spans="1:4" ht="15.75" customHeight="1"/>
    <row r="106" spans="1:4" ht="15.75" customHeight="1"/>
    <row r="107" spans="1:4" ht="15.75" customHeight="1"/>
    <row r="108" spans="1:4" ht="15.75" customHeight="1"/>
    <row r="109" spans="1:4" ht="15.75" customHeight="1"/>
    <row r="110" spans="1:4" ht="15.75" customHeight="1"/>
    <row r="111" spans="1:4" ht="15.75" customHeight="1"/>
    <row r="112" spans="1:4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2:D2"/>
  </mergeCells>
  <conditionalFormatting sqref="C5:C104">
    <cfRule type="expression" dxfId="4" priority="1">
      <formula>C5="مكتمل"</formula>
    </cfRule>
    <cfRule type="expression" dxfId="3" priority="2">
      <formula>C5="قيد التنفيذ"</formula>
    </cfRule>
    <cfRule type="expression" dxfId="2" priority="3">
      <formula>C5="متأخر"</formula>
    </cfRule>
    <cfRule type="expression" dxfId="1" priority="4">
      <formula>C5="متوقف / قرار"</formula>
    </cfRule>
    <cfRule type="expression" dxfId="0" priority="5">
      <formula>C5="لم يبدأ"</formula>
    </cfRule>
  </conditionalFormatting>
  <dataValidations count="1">
    <dataValidation type="list" allowBlank="1" sqref="C5:C104" xr:uid="{00000000-0002-0000-0500-000000000000}">
      <formula1>"لم يبدأ,قيد التنفيذ,مكتمل,متأخر,متوقف / قرار"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بلال</vt:lpstr>
      <vt:lpstr>منار</vt:lpstr>
      <vt:lpstr>مقرن</vt:lpstr>
      <vt:lpstr>محمد</vt:lpstr>
      <vt:lpstr>زكريا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Mohamed mostafa</cp:lastModifiedBy>
  <dcterms:modified xsi:type="dcterms:W3CDTF">2026-09-16T12:28:27Z</dcterms:modified>
</cp:coreProperties>
</file>